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ric\Downloads\"/>
    </mc:Choice>
  </mc:AlternateContent>
  <xr:revisionPtr revIDLastSave="0" documentId="13_ncr:1_{E1AEFEE6-8532-4A3F-B92F-4D6CB32A4AA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UNIFICADO" sheetId="5" r:id="rId1"/>
    <sheet name="Planilha1" sheetId="6" r:id="rId2"/>
  </sheets>
  <calcPr calcId="191028" iterateDelta="1E-4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5" i="5" l="1"/>
  <c r="O39" i="5"/>
  <c r="I40" i="5"/>
  <c r="I32" i="5"/>
  <c r="H116" i="5" s="1"/>
  <c r="N27" i="5"/>
  <c r="B9" i="5"/>
  <c r="N26" i="5"/>
  <c r="N24" i="5"/>
  <c r="H120" i="5"/>
  <c r="N25" i="5"/>
  <c r="N23" i="5"/>
  <c r="H121" i="5" l="1"/>
  <c r="H122" i="5" s="1"/>
  <c r="N42" i="5" l="1"/>
  <c r="P42" i="5" s="1"/>
  <c r="N41" i="5"/>
  <c r="P41" i="5" s="1"/>
  <c r="N40" i="5"/>
  <c r="P40" i="5" s="1"/>
  <c r="N39" i="5"/>
  <c r="P39" i="5" s="1"/>
  <c r="N38" i="5"/>
  <c r="P38" i="5" s="1"/>
  <c r="N19" i="5"/>
  <c r="N18" i="5"/>
  <c r="N17" i="5"/>
  <c r="N16" i="5"/>
  <c r="N15" i="5"/>
  <c r="N9" i="5"/>
  <c r="N8" i="5"/>
  <c r="N7" i="5"/>
  <c r="N6" i="5"/>
  <c r="N5" i="5"/>
</calcChain>
</file>

<file path=xl/sharedStrings.xml><?xml version="1.0" encoding="utf-8"?>
<sst xmlns="http://schemas.openxmlformats.org/spreadsheetml/2006/main" count="476" uniqueCount="103">
  <si>
    <t>ANÁLISE DETALHADA DE CONSUMO DE CRÉDITO</t>
  </si>
  <si>
    <t>CONSUMO TOTAL</t>
  </si>
  <si>
    <t>VALOR POR CATEGORIA</t>
  </si>
  <si>
    <t>LOCAL</t>
  </si>
  <si>
    <t>CATEGORIA</t>
  </si>
  <si>
    <t>PARCELAS TOTAIS</t>
  </si>
  <si>
    <t>PARCELAS FALTANTES</t>
  </si>
  <si>
    <t>DONO</t>
  </si>
  <si>
    <t>VALOR</t>
  </si>
  <si>
    <t>STATUS</t>
  </si>
  <si>
    <t>BANCO</t>
  </si>
  <si>
    <t>GASTO TOTAL</t>
  </si>
  <si>
    <t>Soma de VALOR</t>
  </si>
  <si>
    <t>EU</t>
  </si>
  <si>
    <t>PENDENTE</t>
  </si>
  <si>
    <t>ITAÚ</t>
  </si>
  <si>
    <t>MERCADO PAGO</t>
  </si>
  <si>
    <t>NUBANK</t>
  </si>
  <si>
    <t>ITAÚ 2</t>
  </si>
  <si>
    <t>Total Geral</t>
  </si>
  <si>
    <t>MERCADO LIVRE</t>
  </si>
  <si>
    <t>KAUANE</t>
  </si>
  <si>
    <t>MÃE</t>
  </si>
  <si>
    <t>ALIMENTAÇÃO</t>
  </si>
  <si>
    <t>PAGO</t>
  </si>
  <si>
    <t>ASSINATURAS</t>
  </si>
  <si>
    <t>JÉSSICA</t>
  </si>
  <si>
    <t>CARRO/MOTO APLICATIVO</t>
  </si>
  <si>
    <t>WALMIR</t>
  </si>
  <si>
    <t>ELETRÔNICOS</t>
  </si>
  <si>
    <t>FORMATURA</t>
  </si>
  <si>
    <t>MOVIDA</t>
  </si>
  <si>
    <t>INTERNET</t>
  </si>
  <si>
    <t>JOGOS</t>
  </si>
  <si>
    <t>CLARO FLEX</t>
  </si>
  <si>
    <t>FALTA RECEBER</t>
  </si>
  <si>
    <t>ENTRETERIMENTO</t>
  </si>
  <si>
    <t>CASAS BAHIA</t>
  </si>
  <si>
    <t>VESTIÁRIO</t>
  </si>
  <si>
    <t>TRANSPORTE</t>
  </si>
  <si>
    <t>CONCURSO</t>
  </si>
  <si>
    <t>JUROS</t>
  </si>
  <si>
    <t>DESCONTOS</t>
  </si>
  <si>
    <t>ELETRODOMESTICOS</t>
  </si>
  <si>
    <t>SEGUROS</t>
  </si>
  <si>
    <t>PREZUNIC</t>
  </si>
  <si>
    <t>A PAGAR</t>
  </si>
  <si>
    <t>FALTA</t>
  </si>
  <si>
    <t>AMAZON MUSIC</t>
  </si>
  <si>
    <t>99 FOOD</t>
  </si>
  <si>
    <t>STEAM</t>
  </si>
  <si>
    <t>TOTAL</t>
  </si>
  <si>
    <t>TOTAL PAGO</t>
  </si>
  <si>
    <t>SALDO EM CONTA</t>
  </si>
  <si>
    <t>EM CONTA + A RECEBER</t>
  </si>
  <si>
    <t>RESTA PAGAR</t>
  </si>
  <si>
    <t>RESTARÁ</t>
  </si>
  <si>
    <t>carrinho</t>
  </si>
  <si>
    <t>FOTOS</t>
  </si>
  <si>
    <t>DESCONTO</t>
  </si>
  <si>
    <t>OP3</t>
  </si>
  <si>
    <t>PADARIA</t>
  </si>
  <si>
    <t>LOJINHA</t>
  </si>
  <si>
    <t>CAFÉ</t>
  </si>
  <si>
    <t>MERCADINHO</t>
  </si>
  <si>
    <t>CABO VIOLÃO</t>
  </si>
  <si>
    <t>ALMOÇO RUA</t>
  </si>
  <si>
    <t>BATERIA VIOLÃO</t>
  </si>
  <si>
    <t>VETERINÁRIO</t>
  </si>
  <si>
    <t>CASA VELHA</t>
  </si>
  <si>
    <t>CIRURGIA KIARA</t>
  </si>
  <si>
    <t>COMIDA RUA</t>
  </si>
  <si>
    <t>PASTEL RUA</t>
  </si>
  <si>
    <t>CRUNCHYROLL</t>
  </si>
  <si>
    <t>ITAÚ 3</t>
  </si>
  <si>
    <t>JÁ É</t>
  </si>
  <si>
    <t xml:space="preserve">PIER </t>
  </si>
  <si>
    <t>JUROS ATRASO</t>
  </si>
  <si>
    <t>GRAN EDUCAÇÃO</t>
  </si>
  <si>
    <t>SYMPLA</t>
  </si>
  <si>
    <t>LS INFOCENTER</t>
  </si>
  <si>
    <t>SEGURO</t>
  </si>
  <si>
    <t>RIOCARD</t>
  </si>
  <si>
    <t>RECARGA TIM</t>
  </si>
  <si>
    <t>SHOPPING DA MULTIDÃO</t>
  </si>
  <si>
    <t>VINITECH</t>
  </si>
  <si>
    <t>CABELO</t>
  </si>
  <si>
    <t>GELO</t>
  </si>
  <si>
    <t>SHOPEE</t>
  </si>
  <si>
    <t>BOLO</t>
  </si>
  <si>
    <t>LANCHE</t>
  </si>
  <si>
    <t>COSECHAS</t>
  </si>
  <si>
    <t>LOJINHA CONDOMINIIO</t>
  </si>
  <si>
    <t>DESCONHECIDO</t>
  </si>
  <si>
    <t>HABBIBS</t>
  </si>
  <si>
    <t>RECARGA CLARO</t>
  </si>
  <si>
    <t>LIGHT</t>
  </si>
  <si>
    <t>LIDER NOVA BRASILIA</t>
  </si>
  <si>
    <t>ROUPAS AJUSTES</t>
  </si>
  <si>
    <t>GÁS</t>
  </si>
  <si>
    <t>AÇAI</t>
  </si>
  <si>
    <t>FARMÁCIA</t>
  </si>
  <si>
    <t>EMPRÉSTIMO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</si>
</sst>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\-??_-;_-@_-"/>
  </numFmts>
  <fonts count="7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b/>
      <sz val="12"/>
      <color theme="0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8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0" tint="-0.14999847407452621"/>
        <bgColor rgb="FFD1D1D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0" borderId="5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0" xfId="0" pivotButton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</cellXfs>
  <cellStyles count="7">
    <cellStyle name="Campo da tabela dinâmica" xfId="3" xr:uid="{00000000-0005-0000-0000-000008000000}"/>
    <cellStyle name="Canto da tabela dinâmica" xfId="1" xr:uid="{00000000-0005-0000-0000-000006000000}"/>
    <cellStyle name="Categoria da tabela dinâmica" xfId="4" xr:uid="{00000000-0005-0000-0000-000009000000}"/>
    <cellStyle name="Normal" xfId="0" builtinId="0"/>
    <cellStyle name="Resultado da tabela dinâmica" xfId="6" xr:uid="{00000000-0005-0000-0000-00000B000000}"/>
    <cellStyle name="Título da tabela dinâmica" xfId="5" xr:uid="{00000000-0005-0000-0000-00000A000000}"/>
    <cellStyle name="Valor da tabela dinâmica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5.847101041669" createdVersion="3" refreshedVersion="8" recordCount="79" xr:uid="{00000000-000A-0000-FFFF-FFFF01000000}">
  <cacheSource type="worksheet">
    <worksheetSource ref="D4:K113" sheet="UNIFICADO"/>
  </cacheSource>
  <cacheFields count="8">
    <cacheField name="LOCAL" numFmtId="0">
      <sharedItems containsBlank="1" containsMixedTypes="1" containsNumber="1" containsInteger="1" minValue="99" maxValue="99" count="55">
        <s v="BRISA"/>
        <s v="RJ DUQUE DE CAXIAS"/>
        <s v="MERCADO LIVRE FATURA"/>
        <s v="MP*MAMIBRINQUEDO"/>
        <s v="LAJEDO FESTAS"/>
        <s v="MERCADO LIVRE CYBER"/>
        <s v="UBER"/>
        <s v="MO*THIAGO SALGADOS"/>
        <s v="CLARO FLEX"/>
        <s v="PREZUNIC"/>
        <s v="MP*MELIMAIS"/>
        <s v="REN*LEM ATELIE"/>
        <s v="PG*ALBOOM PAY"/>
        <s v="RECARGAY"/>
        <s v="JAE"/>
        <s v="APPLE.COM"/>
        <s v="ANFECOMERCIO"/>
        <s v="DOIDOS POR P"/>
        <s v="SALOMAO SALGADOS"/>
        <s v="PG CONTA FUNDO ESPECIAL"/>
        <s v="JUROS PAG CONTA"/>
        <s v="IOF PAGAMENTO VONTAS"/>
        <s v="PIX VINICIUS FREITAS"/>
        <s v="IOF PIX"/>
        <n v="99"/>
        <s v="RECARGAY AMAZONIA"/>
        <s v="ATACADÃO"/>
        <s v="FABINHOTECCELL"/>
        <s v="PIX MATEUS SIMOES"/>
        <s v="AMAZON MUSIC"/>
        <s v="SUECIA GOURMET"/>
        <s v="AMAZON PRIME BR"/>
        <s v="ENCARGOS PIX"/>
        <s v="DESCONTOS"/>
        <s v="MP ALIEXPRESS"/>
        <s v="SYMPLA JKSV"/>
        <s v="MERCADO LIVRE SHOP"/>
        <s v="RIO NOVA AMERICA SH02"/>
        <s v="EBN TIKTOK"/>
        <s v="MERCADO LIVRE"/>
        <s v="STEAM"/>
        <s v="PRUDENTIAL BR"/>
        <s v="GOOGLE"/>
        <s v="META ARTIGOS"/>
        <s v="GOOGLE YOTUBE"/>
        <s v="BMB LIGHT"/>
        <s v="MP ANDRE"/>
        <s v="CASA DE AVES"/>
        <s v="HOTIFRUTI"/>
        <s v="PIER SEGURADORA"/>
        <s v="ENCAGOS REFINANCIAMENTO"/>
        <s v="IOF"/>
        <s v="JUROS DE MORA"/>
        <s v="MULTA"/>
        <m/>
      </sharedItems>
    </cacheField>
    <cacheField name="CATEGORIA" numFmtId="0">
      <sharedItems containsBlank="1" count="27">
        <s v="VESTIÁRIO"/>
        <s v="MÓVEL"/>
        <s v="CARRINHO"/>
        <s v="FORMATURA"/>
        <s v="ELETRÔNICOS"/>
        <s v="CARRO/MOTO APLICATIVO"/>
        <s v="ALIMENTAÇÃO"/>
        <s v="INTERNET"/>
        <s v="ASSINATURAS"/>
        <s v="GÁS"/>
        <s v="TRANSPORTE"/>
        <s v="CONCURSO"/>
        <s v="JUROS"/>
        <s v="DESCONTOS"/>
        <s v="ENTRETERIMENTO"/>
        <s v="ELETRODOMESTICOS"/>
        <s v="JOGOS"/>
        <s v="SEGUROS"/>
        <s v="LUZ"/>
        <m/>
        <s v="ARTIGOS MILITARES" u="1"/>
        <s v="BEBÊ" u="1"/>
        <s v="DESCONHECIDO" u="1"/>
        <s v="FARMÁCIA" u="1"/>
        <s v="ÓCULOS" u="1"/>
        <s v="TRANSPORTE PUBLICO" u="1"/>
        <s v="VESTUÁRIO" u="1"/>
      </sharedItems>
    </cacheField>
    <cacheField name="PARCELAS TOTAIS" numFmtId="0">
      <sharedItems containsString="0" containsBlank="1" containsNumber="1" containsInteger="1" minValue="1" maxValue="12"/>
    </cacheField>
    <cacheField name="PARCELAS FALTANTES" numFmtId="0">
      <sharedItems containsString="0" containsBlank="1" containsNumber="1" containsInteger="1" minValue="1" maxValue="10"/>
    </cacheField>
    <cacheField name="DONO" numFmtId="0">
      <sharedItems containsBlank="1" count="6">
        <s v="JÉSSICA"/>
        <s v="KAUANE"/>
        <s v="MÃE"/>
        <s v="EU"/>
        <s v="WALMIR"/>
        <m/>
      </sharedItems>
    </cacheField>
    <cacheField name="VALOR" numFmtId="164">
      <sharedItems containsString="0" containsBlank="1" containsNumber="1" minValue="-0.17" maxValue="421.73"/>
    </cacheField>
    <cacheField name="STATUS" numFmtId="0">
      <sharedItems containsBlank="1"/>
    </cacheField>
    <cacheField name="BANCO" numFmtId="0">
      <sharedItems containsBlank="1" count="5">
        <s v="ITAÚ"/>
        <s v="MERCADO PAGO"/>
        <s v="NUBANK"/>
        <s v="ITAÚ 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n v="3"/>
    <n v="1"/>
    <x v="0"/>
    <n v="88.75"/>
    <s v="PENDENTE"/>
    <x v="0"/>
  </r>
  <r>
    <x v="1"/>
    <x v="0"/>
    <n v="3"/>
    <n v="1"/>
    <x v="0"/>
    <n v="89.99"/>
    <s v="PENDENTE"/>
    <x v="0"/>
  </r>
  <r>
    <x v="2"/>
    <x v="1"/>
    <n v="4"/>
    <n v="2"/>
    <x v="1"/>
    <n v="421.73"/>
    <s v="PENDENTE"/>
    <x v="0"/>
  </r>
  <r>
    <x v="3"/>
    <x v="2"/>
    <n v="6"/>
    <n v="4"/>
    <x v="2"/>
    <n v="155"/>
    <s v="PENDENTE"/>
    <x v="0"/>
  </r>
  <r>
    <x v="4"/>
    <x v="3"/>
    <n v="12"/>
    <n v="10"/>
    <x v="3"/>
    <n v="61.5"/>
    <s v="PENDENTE"/>
    <x v="0"/>
  </r>
  <r>
    <x v="5"/>
    <x v="4"/>
    <n v="2"/>
    <n v="1"/>
    <x v="3"/>
    <n v="24.93"/>
    <s v="PENDENTE"/>
    <x v="0"/>
  </r>
  <r>
    <x v="6"/>
    <x v="5"/>
    <n v="1"/>
    <n v="1"/>
    <x v="3"/>
    <n v="16.940000000000001"/>
    <s v="PENDENTE"/>
    <x v="0"/>
  </r>
  <r>
    <x v="7"/>
    <x v="6"/>
    <n v="1"/>
    <n v="1"/>
    <x v="3"/>
    <n v="7.2"/>
    <s v="PENDENTE"/>
    <x v="0"/>
  </r>
  <r>
    <x v="8"/>
    <x v="7"/>
    <n v="1"/>
    <n v="1"/>
    <x v="3"/>
    <n v="39.99"/>
    <s v="PENDENTE"/>
    <x v="0"/>
  </r>
  <r>
    <x v="9"/>
    <x v="6"/>
    <n v="1"/>
    <n v="1"/>
    <x v="3"/>
    <n v="41.86"/>
    <s v="PENDENTE"/>
    <x v="0"/>
  </r>
  <r>
    <x v="10"/>
    <x v="8"/>
    <n v="1"/>
    <n v="1"/>
    <x v="3"/>
    <n v="24.9"/>
    <s v="PENDENTE"/>
    <x v="0"/>
  </r>
  <r>
    <x v="11"/>
    <x v="3"/>
    <n v="2"/>
    <n v="2"/>
    <x v="3"/>
    <n v="100"/>
    <s v="PENDENTE"/>
    <x v="0"/>
  </r>
  <r>
    <x v="12"/>
    <x v="3"/>
    <n v="4"/>
    <n v="4"/>
    <x v="3"/>
    <n v="55"/>
    <s v="PENDENTE"/>
    <x v="0"/>
  </r>
  <r>
    <x v="13"/>
    <x v="9"/>
    <n v="1"/>
    <n v="1"/>
    <x v="2"/>
    <n v="357.48"/>
    <s v="PENDENTE"/>
    <x v="0"/>
  </r>
  <r>
    <x v="14"/>
    <x v="10"/>
    <n v="1"/>
    <n v="1"/>
    <x v="3"/>
    <n v="150"/>
    <s v="PENDENTE"/>
    <x v="0"/>
  </r>
  <r>
    <x v="15"/>
    <x v="8"/>
    <n v="1"/>
    <n v="1"/>
    <x v="3"/>
    <n v="14.9"/>
    <s v="PENDENTE"/>
    <x v="0"/>
  </r>
  <r>
    <x v="16"/>
    <x v="6"/>
    <n v="1"/>
    <n v="1"/>
    <x v="3"/>
    <n v="3.29"/>
    <s v="PENDENTE"/>
    <x v="0"/>
  </r>
  <r>
    <x v="17"/>
    <x v="6"/>
    <n v="1"/>
    <n v="1"/>
    <x v="3"/>
    <n v="10"/>
    <s v="PENDENTE"/>
    <x v="0"/>
  </r>
  <r>
    <x v="18"/>
    <x v="6"/>
    <n v="1"/>
    <n v="1"/>
    <x v="3"/>
    <n v="8.5"/>
    <s v="PENDENTE"/>
    <x v="0"/>
  </r>
  <r>
    <x v="19"/>
    <x v="11"/>
    <n v="1"/>
    <n v="1"/>
    <x v="3"/>
    <n v="85"/>
    <s v="PENDENTE"/>
    <x v="0"/>
  </r>
  <r>
    <x v="20"/>
    <x v="12"/>
    <n v="1"/>
    <n v="1"/>
    <x v="3"/>
    <n v="3.67"/>
    <s v="PENDENTE"/>
    <x v="0"/>
  </r>
  <r>
    <x v="21"/>
    <x v="12"/>
    <n v="1"/>
    <n v="1"/>
    <x v="3"/>
    <n v="0.5"/>
    <s v="PENDENTE"/>
    <x v="0"/>
  </r>
  <r>
    <x v="22"/>
    <x v="6"/>
    <n v="1"/>
    <n v="1"/>
    <x v="3"/>
    <n v="22"/>
    <s v="PENDENTE"/>
    <x v="0"/>
  </r>
  <r>
    <x v="23"/>
    <x v="12"/>
    <n v="1"/>
    <n v="1"/>
    <x v="3"/>
    <n v="0.12"/>
    <s v="PENDENTE"/>
    <x v="0"/>
  </r>
  <r>
    <x v="16"/>
    <x v="6"/>
    <n v="1"/>
    <n v="1"/>
    <x v="3"/>
    <n v="3.29"/>
    <s v="PENDENTE"/>
    <x v="0"/>
  </r>
  <r>
    <x v="16"/>
    <x v="6"/>
    <n v="1"/>
    <n v="1"/>
    <x v="3"/>
    <n v="3.29"/>
    <s v="PENDENTE"/>
    <x v="0"/>
  </r>
  <r>
    <x v="17"/>
    <x v="6"/>
    <n v="1"/>
    <n v="1"/>
    <x v="3"/>
    <n v="10"/>
    <s v="PENDENTE"/>
    <x v="0"/>
  </r>
  <r>
    <x v="9"/>
    <x v="6"/>
    <n v="1"/>
    <n v="1"/>
    <x v="3"/>
    <n v="34.54"/>
    <s v="PENDENTE"/>
    <x v="0"/>
  </r>
  <r>
    <x v="24"/>
    <x v="5"/>
    <n v="1"/>
    <n v="1"/>
    <x v="3"/>
    <n v="12.41"/>
    <s v="PENDENTE"/>
    <x v="0"/>
  </r>
  <r>
    <x v="25"/>
    <x v="11"/>
    <n v="1"/>
    <n v="1"/>
    <x v="3"/>
    <n v="68.239999999999995"/>
    <s v="PENDENTE"/>
    <x v="0"/>
  </r>
  <r>
    <x v="26"/>
    <x v="6"/>
    <n v="1"/>
    <n v="1"/>
    <x v="3"/>
    <n v="181"/>
    <s v="PENDENTE"/>
    <x v="0"/>
  </r>
  <r>
    <x v="27"/>
    <x v="4"/>
    <n v="3"/>
    <n v="3"/>
    <x v="0"/>
    <n v="107.06"/>
    <s v="PENDENTE"/>
    <x v="0"/>
  </r>
  <r>
    <x v="9"/>
    <x v="6"/>
    <n v="1"/>
    <n v="1"/>
    <x v="3"/>
    <n v="49.15"/>
    <s v="PENDENTE"/>
    <x v="0"/>
  </r>
  <r>
    <x v="28"/>
    <x v="6"/>
    <n v="1"/>
    <n v="1"/>
    <x v="3"/>
    <n v="60"/>
    <s v="PENDENTE"/>
    <x v="0"/>
  </r>
  <r>
    <x v="9"/>
    <x v="6"/>
    <n v="1"/>
    <n v="1"/>
    <x v="3"/>
    <n v="6.1"/>
    <s v="PENDENTE"/>
    <x v="0"/>
  </r>
  <r>
    <x v="29"/>
    <x v="8"/>
    <n v="1"/>
    <n v="1"/>
    <x v="3"/>
    <n v="11.9"/>
    <s v="PENDENTE"/>
    <x v="0"/>
  </r>
  <r>
    <x v="30"/>
    <x v="6"/>
    <n v="1"/>
    <n v="1"/>
    <x v="3"/>
    <n v="84.48"/>
    <s v="PENDENTE"/>
    <x v="0"/>
  </r>
  <r>
    <x v="23"/>
    <x v="12"/>
    <n v="1"/>
    <n v="1"/>
    <x v="3"/>
    <n v="0.28999999999999998"/>
    <s v="PENDENTE"/>
    <x v="0"/>
  </r>
  <r>
    <x v="31"/>
    <x v="8"/>
    <n v="1"/>
    <n v="1"/>
    <x v="3"/>
    <n v="19.899999999999999"/>
    <s v="PENDENTE"/>
    <x v="0"/>
  </r>
  <r>
    <x v="32"/>
    <x v="12"/>
    <n v="1"/>
    <n v="1"/>
    <x v="3"/>
    <n v="2.2999999999999998"/>
    <s v="PENDENTE"/>
    <x v="0"/>
  </r>
  <r>
    <x v="24"/>
    <x v="5"/>
    <n v="1"/>
    <n v="1"/>
    <x v="3"/>
    <n v="15.1"/>
    <s v="PENDENTE"/>
    <x v="0"/>
  </r>
  <r>
    <x v="33"/>
    <x v="13"/>
    <n v="1"/>
    <n v="1"/>
    <x v="3"/>
    <n v="-0.17"/>
    <s v="PENDENTE"/>
    <x v="0"/>
  </r>
  <r>
    <x v="34"/>
    <x v="4"/>
    <n v="12"/>
    <n v="2"/>
    <x v="3"/>
    <n v="13.49"/>
    <s v="PENDENTE"/>
    <x v="1"/>
  </r>
  <r>
    <x v="35"/>
    <x v="14"/>
    <n v="12"/>
    <n v="9"/>
    <x v="3"/>
    <n v="45.9"/>
    <s v="PENDENTE"/>
    <x v="1"/>
  </r>
  <r>
    <x v="36"/>
    <x v="15"/>
    <n v="6"/>
    <n v="2"/>
    <x v="3"/>
    <n v="39.64"/>
    <s v="PENDENTE"/>
    <x v="1"/>
  </r>
  <r>
    <x v="37"/>
    <x v="0"/>
    <n v="3"/>
    <n v="1"/>
    <x v="3"/>
    <n v="86.66"/>
    <s v="PENDENTE"/>
    <x v="1"/>
  </r>
  <r>
    <x v="38"/>
    <x v="0"/>
    <n v="3"/>
    <n v="1"/>
    <x v="3"/>
    <n v="9.5299999999999994"/>
    <s v="PENDENTE"/>
    <x v="1"/>
  </r>
  <r>
    <x v="39"/>
    <x v="4"/>
    <n v="6"/>
    <n v="5"/>
    <x v="4"/>
    <n v="333.16"/>
    <s v="PENDENTE"/>
    <x v="1"/>
  </r>
  <r>
    <x v="40"/>
    <x v="16"/>
    <n v="10"/>
    <n v="9"/>
    <x v="3"/>
    <n v="14.3"/>
    <s v="PENDENTE"/>
    <x v="1"/>
  </r>
  <r>
    <x v="41"/>
    <x v="17"/>
    <n v="1"/>
    <n v="1"/>
    <x v="3"/>
    <n v="9.99"/>
    <s v="PENDENTE"/>
    <x v="1"/>
  </r>
  <r>
    <x v="39"/>
    <x v="0"/>
    <n v="1"/>
    <n v="1"/>
    <x v="3"/>
    <n v="33"/>
    <s v="PENDENTE"/>
    <x v="1"/>
  </r>
  <r>
    <x v="39"/>
    <x v="4"/>
    <n v="1"/>
    <n v="1"/>
    <x v="4"/>
    <n v="33.200000000000003"/>
    <s v="PENDENTE"/>
    <x v="1"/>
  </r>
  <r>
    <x v="39"/>
    <x v="4"/>
    <n v="1"/>
    <n v="1"/>
    <x v="4"/>
    <n v="32.9"/>
    <s v="PENDENTE"/>
    <x v="1"/>
  </r>
  <r>
    <x v="42"/>
    <x v="16"/>
    <n v="1"/>
    <n v="1"/>
    <x v="3"/>
    <n v="4.99"/>
    <s v="PENDENTE"/>
    <x v="1"/>
  </r>
  <r>
    <x v="42"/>
    <x v="16"/>
    <n v="1"/>
    <n v="1"/>
    <x v="3"/>
    <n v="3.29"/>
    <s v="PENDENTE"/>
    <x v="1"/>
  </r>
  <r>
    <x v="43"/>
    <x v="0"/>
    <n v="1"/>
    <n v="1"/>
    <x v="3"/>
    <n v="10"/>
    <s v="PENDENTE"/>
    <x v="1"/>
  </r>
  <r>
    <x v="9"/>
    <x v="6"/>
    <n v="1"/>
    <n v="1"/>
    <x v="3"/>
    <n v="18.420000000000002"/>
    <s v="PENDENTE"/>
    <x v="1"/>
  </r>
  <r>
    <x v="42"/>
    <x v="16"/>
    <n v="1"/>
    <n v="1"/>
    <x v="3"/>
    <n v="16.989999999999998"/>
    <s v="PENDENTE"/>
    <x v="1"/>
  </r>
  <r>
    <x v="6"/>
    <x v="5"/>
    <n v="1"/>
    <n v="1"/>
    <x v="3"/>
    <n v="11.77"/>
    <s v="PENDENTE"/>
    <x v="2"/>
  </r>
  <r>
    <x v="44"/>
    <x v="8"/>
    <n v="1"/>
    <n v="1"/>
    <x v="3"/>
    <n v="26.9"/>
    <s v="PENDENTE"/>
    <x v="2"/>
  </r>
  <r>
    <x v="45"/>
    <x v="18"/>
    <n v="1"/>
    <n v="1"/>
    <x v="2"/>
    <n v="325.72000000000003"/>
    <s v="PENDENTE"/>
    <x v="2"/>
  </r>
  <r>
    <x v="46"/>
    <x v="6"/>
    <n v="1"/>
    <n v="1"/>
    <x v="2"/>
    <n v="62.2"/>
    <s v="PENDENTE"/>
    <x v="2"/>
  </r>
  <r>
    <x v="47"/>
    <x v="6"/>
    <n v="1"/>
    <n v="1"/>
    <x v="2"/>
    <n v="27.77"/>
    <s v="PENDENTE"/>
    <x v="2"/>
  </r>
  <r>
    <x v="48"/>
    <x v="6"/>
    <n v="1"/>
    <n v="1"/>
    <x v="2"/>
    <n v="27.13"/>
    <s v="PENDENTE"/>
    <x v="2"/>
  </r>
  <r>
    <x v="6"/>
    <x v="5"/>
    <n v="1"/>
    <n v="1"/>
    <x v="3"/>
    <n v="6.79"/>
    <s v="PENDENTE"/>
    <x v="2"/>
  </r>
  <r>
    <x v="6"/>
    <x v="5"/>
    <n v="1"/>
    <n v="1"/>
    <x v="3"/>
    <n v="6.19"/>
    <s v="PENDENTE"/>
    <x v="2"/>
  </r>
  <r>
    <x v="6"/>
    <x v="5"/>
    <n v="1"/>
    <n v="1"/>
    <x v="3"/>
    <n v="5.56"/>
    <s v="PENDENTE"/>
    <x v="2"/>
  </r>
  <r>
    <x v="24"/>
    <x v="5"/>
    <n v="1"/>
    <n v="1"/>
    <x v="3"/>
    <n v="11.39"/>
    <s v="PENDENTE"/>
    <x v="2"/>
  </r>
  <r>
    <x v="24"/>
    <x v="5"/>
    <n v="1"/>
    <n v="1"/>
    <x v="3"/>
    <n v="27.83"/>
    <s v="PENDENTE"/>
    <x v="2"/>
  </r>
  <r>
    <x v="24"/>
    <x v="5"/>
    <n v="1"/>
    <n v="1"/>
    <x v="3"/>
    <n v="16.600000000000001"/>
    <s v="PENDENTE"/>
    <x v="2"/>
  </r>
  <r>
    <x v="49"/>
    <x v="17"/>
    <m/>
    <m/>
    <x v="3"/>
    <n v="37.14"/>
    <s v="PENDENTE"/>
    <x v="3"/>
  </r>
  <r>
    <x v="50"/>
    <x v="12"/>
    <m/>
    <m/>
    <x v="3"/>
    <n v="0.9"/>
    <s v="PENDENTE"/>
    <x v="3"/>
  </r>
  <r>
    <x v="51"/>
    <x v="12"/>
    <m/>
    <m/>
    <x v="3"/>
    <n v="0.16"/>
    <s v="PENDENTE"/>
    <x v="3"/>
  </r>
  <r>
    <x v="52"/>
    <x v="12"/>
    <m/>
    <m/>
    <x v="3"/>
    <n v="0.06"/>
    <s v="PENDENTE"/>
    <x v="3"/>
  </r>
  <r>
    <x v="53"/>
    <x v="12"/>
    <m/>
    <m/>
    <x v="3"/>
    <n v="0.74"/>
    <s v="PENDENTE"/>
    <x v="3"/>
  </r>
  <r>
    <x v="54"/>
    <x v="19"/>
    <m/>
    <m/>
    <x v="5"/>
    <m/>
    <m/>
    <x v="4"/>
  </r>
  <r>
    <x v="54"/>
    <x v="19"/>
    <m/>
    <m/>
    <x v="5"/>
    <m/>
    <m/>
    <x v="4"/>
  </r>
  <r>
    <x v="54"/>
    <x v="19"/>
    <m/>
    <m/>
    <x v="5"/>
    <m/>
    <m/>
    <x v="4"/>
  </r>
  <r>
    <x v="54"/>
    <x v="19"/>
    <m/>
    <m/>
    <x v="5"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ela dinâmica2" cacheId="0" applyNumberFormats="0" applyBorderFormats="0" applyFontFormats="0" applyPatternFormats="0" applyAlignmentFormats="0" applyWidthHeightFormats="0" dataCaption="Values" updatedVersion="8" itemPrintTitles="1" indent="0" compact="0" compactData="0">
  <location ref="Q4:W21" firstHeaderRow="1" firstDataRow="2" firstDataCol="2"/>
  <pivotFields count="8">
    <pivotField compact="0" outline="0" showAll="0"/>
    <pivotField axis="axisRow" compact="0" outline="0" showAll="0">
      <items count="28">
        <item sd="0" x="6"/>
        <item m="1" x="20"/>
        <item sd="0" x="8"/>
        <item m="1" x="21"/>
        <item sd="0" x="5"/>
        <item m="1" x="22"/>
        <item sd="0" x="4"/>
        <item m="1" x="23"/>
        <item sd="0" x="3"/>
        <item sd="0" x="7"/>
        <item sd="0" x="16"/>
        <item m="1" x="24"/>
        <item m="1" x="25"/>
        <item m="1" x="26"/>
        <item sd="0" x="14"/>
        <item sd="0" x="0"/>
        <item sd="0" x="19"/>
        <item sd="0" x="1"/>
        <item sd="0" x="2"/>
        <item sd="0" x="9"/>
        <item sd="0" x="10"/>
        <item sd="0" x="11"/>
        <item sd="0" x="12"/>
        <item sd="0" x="13"/>
        <item sd="0" x="15"/>
        <item sd="0" x="17"/>
        <item sd="0" x="18"/>
        <item t="default"/>
      </items>
    </pivotField>
    <pivotField compact="0" showAll="0"/>
    <pivotField compact="0" showAll="0"/>
    <pivotField axis="axisRow" compact="0" outline="0" showAll="0">
      <items count="7">
        <item x="3"/>
        <item h="1" x="0"/>
        <item h="1" x="1"/>
        <item h="1" x="2"/>
        <item h="1" x="4"/>
        <item h="1" x="5"/>
        <item t="default"/>
      </items>
    </pivotField>
    <pivotField dataField="1" compact="0" outline="0" showAll="0"/>
    <pivotField compact="0" outline="0" showAll="0"/>
    <pivotField axis="axisCol" compact="0" outline="0" showAll="0">
      <items count="6">
        <item x="0"/>
        <item x="1"/>
        <item x="2"/>
        <item x="4"/>
        <item x="3"/>
        <item t="default"/>
      </items>
    </pivotField>
  </pivotFields>
  <rowFields count="2">
    <field x="1"/>
    <field x="4"/>
  </rowFields>
  <rowItems count="16">
    <i>
      <x/>
    </i>
    <i>
      <x v="2"/>
    </i>
    <i>
      <x v="4"/>
    </i>
    <i>
      <x v="6"/>
    </i>
    <i>
      <x v="8"/>
    </i>
    <i>
      <x v="9"/>
    </i>
    <i>
      <x v="10"/>
    </i>
    <i>
      <x v="14"/>
    </i>
    <i>
      <x v="15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7"/>
  </colFields>
  <colItems count="5">
    <i>
      <x/>
    </i>
    <i>
      <x v="1"/>
    </i>
    <i>
      <x v="2"/>
    </i>
    <i>
      <x v="4"/>
    </i>
    <i t="grand">
      <x/>
    </i>
  </colItems>
  <dataFields count="1">
    <dataField name="Soma de VALOR" fld="5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AS" displayName="CONTAS" ref="D4:K113" totalsRowShown="0">
  <autoFilter ref="D4:K113" xr:uid="{00000000-0009-0000-0100-000001000000}"/>
  <tableColumns count="8">
    <tableColumn id="1" xr3:uid="{00000000-0010-0000-0000-000001000000}" name="LOCAL"/>
    <tableColumn id="2" xr3:uid="{00000000-0010-0000-0000-000002000000}" name="CATEGORIA"/>
    <tableColumn id="3" xr3:uid="{00000000-0010-0000-0000-000003000000}" name="PARCELAS TOTAIS"/>
    <tableColumn id="4" xr3:uid="{00000000-0010-0000-0000-000004000000}" name="PARCELAS FALTANTES"/>
    <tableColumn id="5" xr3:uid="{00000000-0010-0000-0000-000005000000}" name="DONO"/>
    <tableColumn id="6" xr3:uid="{00000000-0010-0000-0000-000006000000}" name="VALOR"/>
    <tableColumn id="7" xr3:uid="{00000000-0010-0000-0000-000007000000}" name="STATUS"/>
    <tableColumn id="8" xr3:uid="{00000000-0010-0000-0000-000008000000}" name="BANC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F122"/>
  <sheetViews>
    <sheetView tabSelected="1" topLeftCell="I32" zoomScale="130" zoomScaleNormal="130" workbookViewId="0">
      <selection activeCell="S43" sqref="S43"/>
    </sheetView>
  </sheetViews>
  <sheetFormatPr defaultColWidth="9.140625" defaultRowHeight="15" customHeight="1" x14ac:dyDescent="0.25"/>
  <cols>
    <col min="1" max="3" width="9.140625" style="1"/>
    <col min="4" max="4" width="25.5703125" style="4" customWidth="1"/>
    <col min="5" max="5" width="23.85546875" style="4" hidden="1" customWidth="1"/>
    <col min="6" max="7" width="23.85546875" style="1" hidden="1" customWidth="1"/>
    <col min="8" max="8" width="23.85546875" style="1" customWidth="1"/>
    <col min="9" max="10" width="13.85546875" style="1" customWidth="1"/>
    <col min="11" max="11" width="15.85546875" style="1" customWidth="1"/>
    <col min="12" max="12" width="9.140625" style="1"/>
    <col min="13" max="13" width="15.42578125" style="1" customWidth="1"/>
    <col min="14" max="14" width="13.42578125" style="1" customWidth="1"/>
    <col min="15" max="15" width="11.28515625" style="1" customWidth="1"/>
    <col min="16" max="16" width="12.7109375" style="1" bestFit="1" customWidth="1"/>
    <col min="17" max="17" width="26.140625" style="1" customWidth="1"/>
    <col min="18" max="18" width="9.5703125" style="1" customWidth="1"/>
    <col min="19" max="19" width="12" style="1" customWidth="1"/>
    <col min="20" max="20" width="15.5703125" style="1" customWidth="1"/>
    <col min="21" max="21" width="10.28515625" style="1" customWidth="1"/>
    <col min="22" max="23" width="12" style="1" customWidth="1"/>
    <col min="24" max="31" width="8.140625" style="1" customWidth="1"/>
    <col min="32" max="75" width="9.28515625" style="1" customWidth="1"/>
    <col min="76" max="83" width="10.28515625" style="1" customWidth="1"/>
    <col min="84" max="84" width="11.28515625" style="1" customWidth="1"/>
    <col min="85" max="16384" width="9.140625" style="1"/>
  </cols>
  <sheetData>
    <row r="3" spans="1:84" ht="15.75" x14ac:dyDescent="0.25">
      <c r="D3" s="26" t="s">
        <v>0</v>
      </c>
      <c r="E3" s="26"/>
      <c r="F3" s="26"/>
      <c r="G3" s="26"/>
      <c r="H3" s="26"/>
      <c r="I3" s="26"/>
      <c r="J3" s="26"/>
      <c r="K3" s="26"/>
      <c r="M3" s="27" t="s">
        <v>1</v>
      </c>
      <c r="N3" s="27"/>
      <c r="O3" s="27"/>
      <c r="Q3" s="28" t="s">
        <v>2</v>
      </c>
      <c r="R3" s="28"/>
      <c r="S3" s="28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</row>
    <row r="4" spans="1:84" x14ac:dyDescent="0.25"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M4" s="7" t="s">
        <v>7</v>
      </c>
      <c r="N4" s="7" t="s">
        <v>11</v>
      </c>
      <c r="O4" s="7" t="s">
        <v>9</v>
      </c>
      <c r="Q4" s="21" t="s">
        <v>12</v>
      </c>
      <c r="R4"/>
      <c r="S4" s="21" t="s">
        <v>10</v>
      </c>
      <c r="T4"/>
      <c r="U4"/>
      <c r="V4"/>
      <c r="W4"/>
      <c r="X4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</row>
    <row r="5" spans="1:84" x14ac:dyDescent="0.25">
      <c r="D5" s="8" t="s">
        <v>57</v>
      </c>
      <c r="E5" s="9"/>
      <c r="F5" s="10"/>
      <c r="G5" s="10"/>
      <c r="H5" s="10" t="s">
        <v>22</v>
      </c>
      <c r="I5" s="11">
        <v>155</v>
      </c>
      <c r="J5" s="11" t="s">
        <v>14</v>
      </c>
      <c r="K5" s="12" t="s">
        <v>15</v>
      </c>
      <c r="M5" s="2" t="s">
        <v>13</v>
      </c>
      <c r="N5" s="24">
        <f>SUMIF(H:H,M5,I:I)</f>
        <v>2794.6399999999994</v>
      </c>
      <c r="O5" s="13" t="s">
        <v>14</v>
      </c>
      <c r="Q5" s="21" t="s">
        <v>4</v>
      </c>
      <c r="R5" s="21" t="s">
        <v>7</v>
      </c>
      <c r="S5" t="s">
        <v>15</v>
      </c>
      <c r="T5" t="s">
        <v>16</v>
      </c>
      <c r="U5" t="s">
        <v>17</v>
      </c>
      <c r="V5" t="s">
        <v>18</v>
      </c>
      <c r="W5" t="s">
        <v>19</v>
      </c>
      <c r="X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</row>
    <row r="6" spans="1:84" x14ac:dyDescent="0.25">
      <c r="D6" s="14" t="s">
        <v>30</v>
      </c>
      <c r="E6" s="2"/>
      <c r="F6" s="3"/>
      <c r="G6" s="3"/>
      <c r="H6" s="3" t="s">
        <v>13</v>
      </c>
      <c r="I6" s="24">
        <v>61.5</v>
      </c>
      <c r="J6" s="24" t="s">
        <v>14</v>
      </c>
      <c r="K6" s="15" t="s">
        <v>15</v>
      </c>
      <c r="M6" s="2" t="s">
        <v>22</v>
      </c>
      <c r="N6" s="24">
        <f>SUMIF(H:H,M6,I:I)</f>
        <v>1470.5900000000001</v>
      </c>
      <c r="O6" s="13" t="s">
        <v>14</v>
      </c>
      <c r="Q6" t="s">
        <v>23</v>
      </c>
      <c r="R6"/>
      <c r="S6" s="22">
        <v>524.70000000000005</v>
      </c>
      <c r="T6" s="22">
        <v>18.420000000000002</v>
      </c>
      <c r="U6" s="22"/>
      <c r="V6" s="22"/>
      <c r="W6" s="22">
        <v>543.12</v>
      </c>
      <c r="X6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</row>
    <row r="7" spans="1:84" x14ac:dyDescent="0.25">
      <c r="D7" s="14" t="s">
        <v>58</v>
      </c>
      <c r="E7" s="2"/>
      <c r="F7" s="3"/>
      <c r="G7" s="3"/>
      <c r="H7" s="3" t="s">
        <v>13</v>
      </c>
      <c r="I7" s="24">
        <v>55</v>
      </c>
      <c r="J7" s="24" t="s">
        <v>14</v>
      </c>
      <c r="K7" s="15" t="s">
        <v>15</v>
      </c>
      <c r="M7" s="2" t="s">
        <v>21</v>
      </c>
      <c r="N7" s="24">
        <f>SUMIF(H:H,M7,I:I)</f>
        <v>371.49999999999994</v>
      </c>
      <c r="O7" s="13" t="s">
        <v>24</v>
      </c>
      <c r="Q7" t="s">
        <v>25</v>
      </c>
      <c r="R7"/>
      <c r="S7" s="22">
        <v>71.599999999999994</v>
      </c>
      <c r="T7" s="22"/>
      <c r="U7" s="22">
        <v>26.9</v>
      </c>
      <c r="V7" s="22"/>
      <c r="W7" s="22">
        <v>98.5</v>
      </c>
      <c r="X7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84" x14ac:dyDescent="0.25">
      <c r="D8" s="14" t="s">
        <v>31</v>
      </c>
      <c r="E8" s="2"/>
      <c r="F8" s="3"/>
      <c r="G8" s="3"/>
      <c r="H8" s="3" t="s">
        <v>13</v>
      </c>
      <c r="I8" s="24">
        <v>138.6</v>
      </c>
      <c r="J8" s="24" t="s">
        <v>14</v>
      </c>
      <c r="K8" s="15" t="s">
        <v>15</v>
      </c>
      <c r="M8" s="2" t="s">
        <v>26</v>
      </c>
      <c r="N8" s="24">
        <f>SUMIF(H:H,M8,I:I)</f>
        <v>183.72</v>
      </c>
      <c r="O8" s="13" t="s">
        <v>14</v>
      </c>
      <c r="Q8" t="s">
        <v>27</v>
      </c>
      <c r="R8"/>
      <c r="S8" s="22">
        <v>44.45</v>
      </c>
      <c r="T8" s="22"/>
      <c r="U8" s="22">
        <v>86.13000000000001</v>
      </c>
      <c r="V8" s="22"/>
      <c r="W8" s="22">
        <v>130.58000000000001</v>
      </c>
      <c r="X8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</row>
    <row r="9" spans="1:84" x14ac:dyDescent="0.25">
      <c r="A9" s="1" t="s">
        <v>59</v>
      </c>
      <c r="B9" s="1">
        <f>0.1+0.18</f>
        <v>0.28000000000000003</v>
      </c>
      <c r="D9" s="14" t="s">
        <v>37</v>
      </c>
      <c r="E9" s="2"/>
      <c r="F9" s="3"/>
      <c r="G9" s="3"/>
      <c r="H9" s="3" t="s">
        <v>26</v>
      </c>
      <c r="I9" s="24">
        <v>183.72</v>
      </c>
      <c r="J9" s="24" t="s">
        <v>14</v>
      </c>
      <c r="K9" s="15" t="s">
        <v>15</v>
      </c>
      <c r="M9" s="2" t="s">
        <v>28</v>
      </c>
      <c r="N9" s="24">
        <f>SUMIF(H:H,M9,I:I)</f>
        <v>333.16</v>
      </c>
      <c r="O9" s="13" t="s">
        <v>14</v>
      </c>
      <c r="Q9" t="s">
        <v>29</v>
      </c>
      <c r="R9"/>
      <c r="S9" s="22">
        <v>24.93</v>
      </c>
      <c r="T9" s="22">
        <v>13.49</v>
      </c>
      <c r="U9" s="22"/>
      <c r="V9" s="22"/>
      <c r="W9" s="22">
        <v>38.42</v>
      </c>
      <c r="X9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</row>
    <row r="10" spans="1:84" x14ac:dyDescent="0.25">
      <c r="D10" s="14" t="s">
        <v>60</v>
      </c>
      <c r="E10" s="2"/>
      <c r="F10" s="3"/>
      <c r="G10" s="3"/>
      <c r="H10" s="3" t="s">
        <v>13</v>
      </c>
      <c r="I10" s="24">
        <v>101.74</v>
      </c>
      <c r="J10" s="24" t="s">
        <v>14</v>
      </c>
      <c r="K10" s="15" t="s">
        <v>15</v>
      </c>
      <c r="Q10" t="s">
        <v>30</v>
      </c>
      <c r="R10"/>
      <c r="S10" s="22">
        <v>216.5</v>
      </c>
      <c r="T10" s="22"/>
      <c r="U10" s="22"/>
      <c r="V10" s="22"/>
      <c r="W10" s="22">
        <v>216.5</v>
      </c>
      <c r="X10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</row>
    <row r="11" spans="1:84" x14ac:dyDescent="0.25">
      <c r="D11" s="14" t="s">
        <v>61</v>
      </c>
      <c r="E11" s="2"/>
      <c r="F11" s="3"/>
      <c r="G11" s="3"/>
      <c r="H11" s="3" t="s">
        <v>13</v>
      </c>
      <c r="I11" s="24">
        <v>8.5</v>
      </c>
      <c r="J11" s="24" t="s">
        <v>14</v>
      </c>
      <c r="K11" s="15" t="s">
        <v>15</v>
      </c>
      <c r="Q11" t="s">
        <v>32</v>
      </c>
      <c r="R11"/>
      <c r="S11" s="22">
        <v>39.99</v>
      </c>
      <c r="T11" s="22"/>
      <c r="U11" s="22"/>
      <c r="V11" s="22"/>
      <c r="W11" s="22">
        <v>39.99</v>
      </c>
      <c r="X11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</row>
    <row r="12" spans="1:84" x14ac:dyDescent="0.25">
      <c r="D12" s="14" t="s">
        <v>62</v>
      </c>
      <c r="E12" s="2"/>
      <c r="F12" s="3"/>
      <c r="G12" s="3"/>
      <c r="H12" s="3" t="s">
        <v>13</v>
      </c>
      <c r="I12" s="24">
        <v>3</v>
      </c>
      <c r="J12" s="24" t="s">
        <v>14</v>
      </c>
      <c r="K12" s="15" t="s">
        <v>15</v>
      </c>
      <c r="Q12" t="s">
        <v>33</v>
      </c>
      <c r="R12"/>
      <c r="S12" s="22"/>
      <c r="T12" s="22">
        <v>39.569999999999993</v>
      </c>
      <c r="U12" s="22"/>
      <c r="V12" s="22"/>
      <c r="W12" s="22">
        <v>39.569999999999993</v>
      </c>
      <c r="X12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</row>
    <row r="13" spans="1:84" ht="15.75" x14ac:dyDescent="0.25">
      <c r="D13" s="14" t="s">
        <v>63</v>
      </c>
      <c r="E13" s="2"/>
      <c r="F13" s="3"/>
      <c r="G13" s="3"/>
      <c r="H13" s="3" t="s">
        <v>13</v>
      </c>
      <c r="I13" s="24">
        <v>3</v>
      </c>
      <c r="J13" s="24" t="s">
        <v>14</v>
      </c>
      <c r="K13" s="15" t="s">
        <v>15</v>
      </c>
      <c r="M13" s="27" t="s">
        <v>35</v>
      </c>
      <c r="N13" s="27"/>
      <c r="Q13" t="s">
        <v>36</v>
      </c>
      <c r="R13"/>
      <c r="S13" s="22"/>
      <c r="T13" s="22">
        <v>45.9</v>
      </c>
      <c r="U13" s="22"/>
      <c r="V13" s="22"/>
      <c r="W13" s="22">
        <v>45.9</v>
      </c>
      <c r="X13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</row>
    <row r="14" spans="1:84" x14ac:dyDescent="0.25">
      <c r="D14" s="14" t="s">
        <v>34</v>
      </c>
      <c r="E14" s="2"/>
      <c r="F14" s="3"/>
      <c r="G14" s="3"/>
      <c r="H14" s="3" t="s">
        <v>13</v>
      </c>
      <c r="I14" s="24">
        <v>39.99</v>
      </c>
      <c r="J14" s="24" t="s">
        <v>14</v>
      </c>
      <c r="K14" s="15" t="s">
        <v>15</v>
      </c>
      <c r="M14" s="7" t="s">
        <v>7</v>
      </c>
      <c r="N14" s="7" t="s">
        <v>11</v>
      </c>
      <c r="Q14" t="s">
        <v>38</v>
      </c>
      <c r="R14"/>
      <c r="S14" s="22"/>
      <c r="T14" s="22">
        <v>139.19</v>
      </c>
      <c r="U14" s="22"/>
      <c r="V14" s="22"/>
      <c r="W14" s="22">
        <v>139.19</v>
      </c>
      <c r="X14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</row>
    <row r="15" spans="1:84" x14ac:dyDescent="0.25">
      <c r="D15" s="14" t="s">
        <v>64</v>
      </c>
      <c r="E15" s="2"/>
      <c r="F15" s="3"/>
      <c r="G15" s="3"/>
      <c r="H15" s="3" t="s">
        <v>13</v>
      </c>
      <c r="I15" s="24">
        <v>11.99</v>
      </c>
      <c r="J15" s="24" t="s">
        <v>14</v>
      </c>
      <c r="K15" s="15" t="s">
        <v>15</v>
      </c>
      <c r="M15" s="2" t="s">
        <v>13</v>
      </c>
      <c r="N15" s="24">
        <f>SUMIFS(I:I,H:H,M15,J:J,"PENDENTE")</f>
        <v>2794.6399999999994</v>
      </c>
      <c r="Q15" t="s">
        <v>39</v>
      </c>
      <c r="R15"/>
      <c r="S15" s="22">
        <v>150</v>
      </c>
      <c r="T15" s="22"/>
      <c r="U15" s="22"/>
      <c r="V15" s="22"/>
      <c r="W15" s="22">
        <v>150</v>
      </c>
      <c r="X1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</row>
    <row r="16" spans="1:84" x14ac:dyDescent="0.25">
      <c r="D16" s="14" t="s">
        <v>65</v>
      </c>
      <c r="E16" s="2"/>
      <c r="F16" s="3"/>
      <c r="G16" s="3"/>
      <c r="H16" s="3" t="s">
        <v>13</v>
      </c>
      <c r="I16" s="24">
        <v>15</v>
      </c>
      <c r="J16" s="24" t="s">
        <v>14</v>
      </c>
      <c r="K16" s="15" t="s">
        <v>15</v>
      </c>
      <c r="M16" s="2" t="s">
        <v>22</v>
      </c>
      <c r="N16" s="24">
        <f>SUMIFS(I:I,H:H,M16,J:J,"PENDENTE")</f>
        <v>1470.5900000000001</v>
      </c>
      <c r="Q16" t="s">
        <v>40</v>
      </c>
      <c r="R16"/>
      <c r="S16" s="22">
        <v>153.24</v>
      </c>
      <c r="T16" s="22"/>
      <c r="U16" s="22"/>
      <c r="V16" s="22"/>
      <c r="W16" s="22">
        <v>153.24</v>
      </c>
      <c r="X16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</row>
    <row r="17" spans="4:84" x14ac:dyDescent="0.25">
      <c r="D17" s="14" t="s">
        <v>66</v>
      </c>
      <c r="E17" s="2"/>
      <c r="F17" s="3"/>
      <c r="G17" s="3"/>
      <c r="H17" s="3" t="s">
        <v>13</v>
      </c>
      <c r="I17" s="24">
        <v>23</v>
      </c>
      <c r="J17" s="24" t="s">
        <v>14</v>
      </c>
      <c r="K17" s="15" t="s">
        <v>15</v>
      </c>
      <c r="M17" s="2" t="s">
        <v>21</v>
      </c>
      <c r="N17" s="24">
        <f>SUMIFS(I:I,H:H,M17,J:J,"PENDENTE")</f>
        <v>371.49999999999994</v>
      </c>
      <c r="Q17" t="s">
        <v>41</v>
      </c>
      <c r="R17"/>
      <c r="S17" s="22">
        <v>6.88</v>
      </c>
      <c r="T17" s="22"/>
      <c r="U17" s="22"/>
      <c r="V17" s="22">
        <v>1.86</v>
      </c>
      <c r="W17" s="22">
        <v>8.74</v>
      </c>
      <c r="X17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</row>
    <row r="18" spans="4:84" x14ac:dyDescent="0.25">
      <c r="D18" s="14" t="s">
        <v>67</v>
      </c>
      <c r="E18" s="2"/>
      <c r="F18" s="3"/>
      <c r="G18" s="3"/>
      <c r="H18" s="3" t="s">
        <v>13</v>
      </c>
      <c r="I18" s="24">
        <v>10</v>
      </c>
      <c r="J18" s="24" t="s">
        <v>14</v>
      </c>
      <c r="K18" s="15" t="s">
        <v>15</v>
      </c>
      <c r="M18" s="2" t="s">
        <v>26</v>
      </c>
      <c r="N18" s="24">
        <f>SUMIFS(I:I,H:H,M18,J:J,"PENDENTE")</f>
        <v>183.72</v>
      </c>
      <c r="Q18" t="s">
        <v>42</v>
      </c>
      <c r="R18"/>
      <c r="S18" s="22">
        <v>-0.17</v>
      </c>
      <c r="T18" s="22"/>
      <c r="U18" s="22"/>
      <c r="V18" s="22"/>
      <c r="W18" s="22">
        <v>-0.17</v>
      </c>
      <c r="X18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</row>
    <row r="19" spans="4:84" x14ac:dyDescent="0.25">
      <c r="D19" s="14">
        <v>99</v>
      </c>
      <c r="E19" s="2"/>
      <c r="F19" s="3"/>
      <c r="G19" s="3"/>
      <c r="H19" s="3" t="s">
        <v>13</v>
      </c>
      <c r="I19" s="24">
        <v>18.8</v>
      </c>
      <c r="J19" s="24" t="s">
        <v>14</v>
      </c>
      <c r="K19" s="15" t="s">
        <v>15</v>
      </c>
      <c r="M19" s="2" t="s">
        <v>28</v>
      </c>
      <c r="N19" s="24">
        <f>SUMIFS(I:I,H:H,M19,J:J,"PENDENTE")</f>
        <v>333.16</v>
      </c>
      <c r="Q19" t="s">
        <v>43</v>
      </c>
      <c r="R19"/>
      <c r="S19" s="22"/>
      <c r="T19" s="22">
        <v>39.64</v>
      </c>
      <c r="U19" s="22"/>
      <c r="V19" s="22"/>
      <c r="W19" s="22">
        <v>39.64</v>
      </c>
      <c r="X19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</row>
    <row r="20" spans="4:84" x14ac:dyDescent="0.25">
      <c r="D20" s="14" t="s">
        <v>68</v>
      </c>
      <c r="E20" s="2"/>
      <c r="F20" s="3"/>
      <c r="G20" s="3"/>
      <c r="H20" s="3" t="s">
        <v>13</v>
      </c>
      <c r="I20" s="24">
        <v>60</v>
      </c>
      <c r="J20" s="24" t="s">
        <v>14</v>
      </c>
      <c r="K20" s="15" t="s">
        <v>15</v>
      </c>
      <c r="Q20" t="s">
        <v>44</v>
      </c>
      <c r="R20"/>
      <c r="S20" s="22"/>
      <c r="T20" s="22">
        <v>9.99</v>
      </c>
      <c r="U20" s="22"/>
      <c r="V20" s="22">
        <v>37.14</v>
      </c>
      <c r="W20" s="22">
        <v>47.13</v>
      </c>
      <c r="X20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</row>
    <row r="21" spans="4:84" ht="15.75" x14ac:dyDescent="0.25">
      <c r="D21" s="14" t="s">
        <v>69</v>
      </c>
      <c r="E21" s="2"/>
      <c r="F21" s="3"/>
      <c r="G21" s="3"/>
      <c r="H21" s="3" t="s">
        <v>13</v>
      </c>
      <c r="I21" s="24">
        <v>11.99</v>
      </c>
      <c r="J21" s="24" t="s">
        <v>14</v>
      </c>
      <c r="K21" s="15" t="s">
        <v>15</v>
      </c>
      <c r="M21" s="29" t="s">
        <v>46</v>
      </c>
      <c r="N21" s="29"/>
      <c r="Q21" t="s">
        <v>19</v>
      </c>
      <c r="R21"/>
      <c r="S21" s="22">
        <v>1232.1200000000001</v>
      </c>
      <c r="T21" s="22">
        <v>306.2</v>
      </c>
      <c r="U21" s="22">
        <v>113.03</v>
      </c>
      <c r="V21" s="22">
        <v>39</v>
      </c>
      <c r="W21" s="22">
        <v>1690.3500000000001</v>
      </c>
      <c r="X21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</row>
    <row r="22" spans="4:84" x14ac:dyDescent="0.25">
      <c r="D22" s="14" t="s">
        <v>70</v>
      </c>
      <c r="E22" s="2"/>
      <c r="F22" s="3"/>
      <c r="G22" s="3"/>
      <c r="H22" s="3" t="s">
        <v>22</v>
      </c>
      <c r="I22" s="24">
        <v>420</v>
      </c>
      <c r="J22" s="24" t="s">
        <v>14</v>
      </c>
      <c r="K22" s="15" t="s">
        <v>15</v>
      </c>
      <c r="M22" s="16" t="s">
        <v>10</v>
      </c>
      <c r="N22" s="16" t="s">
        <v>8</v>
      </c>
      <c r="Q22"/>
      <c r="R22"/>
      <c r="S22"/>
      <c r="T22"/>
      <c r="U22"/>
      <c r="V22"/>
      <c r="W22"/>
      <c r="X22"/>
    </row>
    <row r="23" spans="4:84" x14ac:dyDescent="0.25">
      <c r="D23" s="14" t="s">
        <v>71</v>
      </c>
      <c r="E23" s="2"/>
      <c r="F23" s="3"/>
      <c r="G23" s="3"/>
      <c r="H23" s="3" t="s">
        <v>13</v>
      </c>
      <c r="I23" s="24">
        <v>7</v>
      </c>
      <c r="J23" s="24" t="s">
        <v>14</v>
      </c>
      <c r="K23" s="15" t="s">
        <v>15</v>
      </c>
      <c r="M23" s="2" t="s">
        <v>15</v>
      </c>
      <c r="N23" s="24">
        <f>SUMIFS(I:I,J:J,"PENDENTE",K:K,M23)</f>
        <v>1388.96</v>
      </c>
      <c r="Q23"/>
      <c r="R23"/>
      <c r="S23"/>
      <c r="T23"/>
      <c r="U23"/>
      <c r="V23"/>
      <c r="W23"/>
      <c r="X23"/>
    </row>
    <row r="24" spans="4:84" x14ac:dyDescent="0.25">
      <c r="D24" s="14" t="s">
        <v>72</v>
      </c>
      <c r="E24" s="2"/>
      <c r="F24" s="3"/>
      <c r="G24" s="3"/>
      <c r="H24" s="3" t="s">
        <v>13</v>
      </c>
      <c r="I24" s="24">
        <v>10</v>
      </c>
      <c r="J24" s="24" t="s">
        <v>14</v>
      </c>
      <c r="K24" s="15" t="s">
        <v>15</v>
      </c>
      <c r="M24" s="2" t="s">
        <v>16</v>
      </c>
      <c r="N24" s="24">
        <f>SUMIFS(I:I,J:J,"PENDENTE",K:K,M24)</f>
        <v>0</v>
      </c>
      <c r="Q24"/>
      <c r="R24"/>
      <c r="S24"/>
      <c r="T24"/>
      <c r="U24"/>
      <c r="V24"/>
      <c r="W24"/>
      <c r="X24"/>
    </row>
    <row r="25" spans="4:84" x14ac:dyDescent="0.25">
      <c r="D25" s="14" t="s">
        <v>73</v>
      </c>
      <c r="E25" s="2"/>
      <c r="F25" s="3"/>
      <c r="G25" s="3"/>
      <c r="H25" s="3" t="s">
        <v>13</v>
      </c>
      <c r="I25" s="24">
        <v>14.9</v>
      </c>
      <c r="J25" s="24" t="s">
        <v>14</v>
      </c>
      <c r="K25" s="15" t="s">
        <v>15</v>
      </c>
      <c r="M25" s="2" t="s">
        <v>17</v>
      </c>
      <c r="N25" s="24">
        <f>SUMIFS(I:I,J:J,"PENDENTE",K:K,M25)</f>
        <v>1616.9500000000003</v>
      </c>
      <c r="Q25"/>
      <c r="R25"/>
      <c r="S25"/>
      <c r="T25"/>
      <c r="U25"/>
      <c r="V25"/>
      <c r="W25"/>
      <c r="X25"/>
    </row>
    <row r="26" spans="4:84" x14ac:dyDescent="0.25">
      <c r="D26" s="14" t="s">
        <v>45</v>
      </c>
      <c r="E26" s="2"/>
      <c r="F26" s="3"/>
      <c r="G26" s="3"/>
      <c r="H26" s="3" t="s">
        <v>13</v>
      </c>
      <c r="I26" s="24">
        <v>21.61</v>
      </c>
      <c r="J26" s="24" t="s">
        <v>14</v>
      </c>
      <c r="K26" s="15" t="s">
        <v>15</v>
      </c>
      <c r="M26" s="2" t="s">
        <v>18</v>
      </c>
      <c r="N26" s="24">
        <f>SUMIFS(I:I,J:J,"PENDENTE",K:K,M26)</f>
        <v>145.27999999999997</v>
      </c>
      <c r="Q26"/>
      <c r="R26"/>
      <c r="S26"/>
      <c r="T26"/>
      <c r="U26"/>
      <c r="V26"/>
      <c r="W26"/>
      <c r="X26"/>
    </row>
    <row r="27" spans="4:84" x14ac:dyDescent="0.25">
      <c r="D27" s="14" t="s">
        <v>63</v>
      </c>
      <c r="E27" s="2"/>
      <c r="F27" s="3"/>
      <c r="G27" s="3"/>
      <c r="H27" s="3" t="s">
        <v>13</v>
      </c>
      <c r="I27" s="24">
        <v>3</v>
      </c>
      <c r="J27" s="24" t="s">
        <v>14</v>
      </c>
      <c r="K27" s="15" t="s">
        <v>15</v>
      </c>
      <c r="M27" s="2" t="s">
        <v>74</v>
      </c>
      <c r="N27" s="24">
        <f>SUMIFS(I:I,J:J,"PENDENTE",K:K,M27)</f>
        <v>179.9</v>
      </c>
      <c r="Q27"/>
      <c r="R27"/>
      <c r="S27"/>
      <c r="T27"/>
      <c r="U27"/>
      <c r="V27"/>
      <c r="W27"/>
    </row>
    <row r="28" spans="4:84" x14ac:dyDescent="0.25">
      <c r="D28" s="14" t="s">
        <v>48</v>
      </c>
      <c r="E28" s="2"/>
      <c r="F28" s="3"/>
      <c r="G28" s="3"/>
      <c r="H28" s="3" t="s">
        <v>13</v>
      </c>
      <c r="I28" s="24">
        <v>11.9</v>
      </c>
      <c r="J28" s="24" t="s">
        <v>14</v>
      </c>
      <c r="K28" s="15" t="s">
        <v>15</v>
      </c>
      <c r="Q28"/>
      <c r="R28"/>
      <c r="S28"/>
      <c r="T28"/>
      <c r="U28"/>
      <c r="V28"/>
      <c r="W28"/>
    </row>
    <row r="29" spans="4:84" x14ac:dyDescent="0.25">
      <c r="D29" s="14" t="s">
        <v>59</v>
      </c>
      <c r="E29" s="2"/>
      <c r="F29" s="3"/>
      <c r="G29" s="3"/>
      <c r="H29" s="3" t="s">
        <v>13</v>
      </c>
      <c r="I29" s="24">
        <v>-0.28000000000000003</v>
      </c>
      <c r="J29" s="24" t="s">
        <v>14</v>
      </c>
      <c r="K29" s="15" t="s">
        <v>15</v>
      </c>
      <c r="Q29"/>
      <c r="R29"/>
      <c r="S29"/>
      <c r="T29"/>
      <c r="U29"/>
      <c r="V29"/>
      <c r="W29"/>
    </row>
    <row r="30" spans="4:84" x14ac:dyDescent="0.25">
      <c r="D30" s="14" t="s">
        <v>75</v>
      </c>
      <c r="E30" s="2"/>
      <c r="F30" s="3"/>
      <c r="G30" s="3"/>
      <c r="H30" s="3" t="s">
        <v>13</v>
      </c>
      <c r="I30" s="24">
        <v>100</v>
      </c>
      <c r="J30" s="24" t="s">
        <v>14</v>
      </c>
      <c r="K30" s="15" t="s">
        <v>18</v>
      </c>
      <c r="Q30"/>
      <c r="R30"/>
      <c r="S30"/>
      <c r="T30"/>
      <c r="U30"/>
      <c r="V30"/>
      <c r="W30"/>
    </row>
    <row r="31" spans="4:84" x14ac:dyDescent="0.25">
      <c r="D31" s="14" t="s">
        <v>76</v>
      </c>
      <c r="E31" s="2"/>
      <c r="F31" s="3"/>
      <c r="G31" s="3"/>
      <c r="H31" s="3" t="s">
        <v>13</v>
      </c>
      <c r="I31" s="24">
        <v>37.14</v>
      </c>
      <c r="J31" s="24" t="s">
        <v>14</v>
      </c>
      <c r="K31" s="15" t="s">
        <v>18</v>
      </c>
      <c r="Q31"/>
      <c r="R31"/>
      <c r="S31"/>
      <c r="T31"/>
      <c r="U31"/>
      <c r="V31"/>
      <c r="W31"/>
    </row>
    <row r="32" spans="4:84" x14ac:dyDescent="0.25">
      <c r="D32" s="14" t="s">
        <v>77</v>
      </c>
      <c r="E32" s="2"/>
      <c r="F32" s="3"/>
      <c r="G32" s="3"/>
      <c r="H32" s="3" t="s">
        <v>13</v>
      </c>
      <c r="I32" s="24">
        <f>0.46+5.38+0.36+1.94</f>
        <v>8.14</v>
      </c>
      <c r="J32" s="24" t="s">
        <v>14</v>
      </c>
      <c r="K32" s="15" t="s">
        <v>18</v>
      </c>
      <c r="Q32"/>
      <c r="R32"/>
      <c r="S32"/>
      <c r="T32"/>
      <c r="U32"/>
      <c r="V32"/>
    </row>
    <row r="33" spans="4:22" x14ac:dyDescent="0.25">
      <c r="D33" s="14" t="s">
        <v>78</v>
      </c>
      <c r="E33" s="2"/>
      <c r="F33" s="3"/>
      <c r="G33" s="3"/>
      <c r="H33" s="3" t="s">
        <v>13</v>
      </c>
      <c r="I33" s="24">
        <v>179.9</v>
      </c>
      <c r="J33" s="24" t="s">
        <v>14</v>
      </c>
      <c r="K33" s="15" t="s">
        <v>74</v>
      </c>
      <c r="Q33"/>
      <c r="R33"/>
      <c r="S33"/>
      <c r="T33"/>
      <c r="U33"/>
      <c r="V33"/>
    </row>
    <row r="34" spans="4:22" x14ac:dyDescent="0.25">
      <c r="D34" s="14" t="s">
        <v>79</v>
      </c>
      <c r="E34" s="2"/>
      <c r="F34" s="3"/>
      <c r="G34" s="3"/>
      <c r="H34" s="3" t="s">
        <v>13</v>
      </c>
      <c r="I34" s="24">
        <v>45.9</v>
      </c>
      <c r="J34" s="24" t="s">
        <v>14</v>
      </c>
      <c r="K34" s="15" t="s">
        <v>20</v>
      </c>
      <c r="Q34"/>
      <c r="R34"/>
      <c r="S34"/>
      <c r="T34"/>
      <c r="U34"/>
      <c r="V34"/>
    </row>
    <row r="35" spans="4:22" x14ac:dyDescent="0.25">
      <c r="D35" s="14" t="s">
        <v>20</v>
      </c>
      <c r="E35" s="2"/>
      <c r="F35" s="3"/>
      <c r="G35" s="3"/>
      <c r="H35" s="3" t="s">
        <v>28</v>
      </c>
      <c r="I35" s="24">
        <v>333.16</v>
      </c>
      <c r="J35" s="24" t="s">
        <v>14</v>
      </c>
      <c r="K35" s="15" t="s">
        <v>20</v>
      </c>
      <c r="Q35"/>
      <c r="R35"/>
      <c r="S35"/>
      <c r="T35"/>
      <c r="U35"/>
      <c r="V35"/>
    </row>
    <row r="36" spans="4:22" ht="15.75" x14ac:dyDescent="0.25">
      <c r="D36" s="14" t="s">
        <v>50</v>
      </c>
      <c r="E36" s="2"/>
      <c r="F36" s="3"/>
      <c r="G36" s="3"/>
      <c r="H36" s="3" t="s">
        <v>13</v>
      </c>
      <c r="I36" s="24">
        <v>14.3</v>
      </c>
      <c r="J36" s="24" t="s">
        <v>14</v>
      </c>
      <c r="K36" s="15" t="s">
        <v>20</v>
      </c>
      <c r="M36" s="27" t="s">
        <v>35</v>
      </c>
      <c r="N36" s="27"/>
      <c r="Q36"/>
      <c r="R36"/>
      <c r="S36"/>
      <c r="T36"/>
      <c r="U36"/>
      <c r="V36"/>
    </row>
    <row r="37" spans="4:22" x14ac:dyDescent="0.25">
      <c r="D37" s="14" t="s">
        <v>20</v>
      </c>
      <c r="E37" s="2"/>
      <c r="F37" s="3"/>
      <c r="G37" s="3"/>
      <c r="H37" s="3" t="s">
        <v>13</v>
      </c>
      <c r="I37" s="24">
        <v>19.27</v>
      </c>
      <c r="J37" s="24" t="s">
        <v>14</v>
      </c>
      <c r="K37" s="15" t="s">
        <v>20</v>
      </c>
      <c r="M37" s="7" t="s">
        <v>7</v>
      </c>
      <c r="N37" s="7" t="s">
        <v>11</v>
      </c>
      <c r="O37" s="7" t="s">
        <v>24</v>
      </c>
      <c r="P37" s="7" t="s">
        <v>47</v>
      </c>
    </row>
    <row r="38" spans="4:22" x14ac:dyDescent="0.25">
      <c r="D38" s="14" t="s">
        <v>80</v>
      </c>
      <c r="E38" s="2"/>
      <c r="F38" s="3"/>
      <c r="G38" s="3"/>
      <c r="H38" s="3" t="s">
        <v>13</v>
      </c>
      <c r="I38" s="24">
        <v>32.5</v>
      </c>
      <c r="J38" s="24" t="s">
        <v>14</v>
      </c>
      <c r="K38" s="15" t="s">
        <v>20</v>
      </c>
      <c r="M38" s="2" t="s">
        <v>13</v>
      </c>
      <c r="N38" s="24">
        <f>SUMIFS(I:I,H:H,M38,J:J,"PENDENTE")</f>
        <v>2794.6399999999994</v>
      </c>
      <c r="O38" s="24">
        <v>0</v>
      </c>
      <c r="P38" s="24">
        <f>N38-O38</f>
        <v>2794.6399999999994</v>
      </c>
    </row>
    <row r="39" spans="4:22" x14ac:dyDescent="0.25">
      <c r="D39" s="14" t="s">
        <v>81</v>
      </c>
      <c r="E39" s="2"/>
      <c r="F39" s="3"/>
      <c r="G39" s="3"/>
      <c r="H39" s="3" t="s">
        <v>13</v>
      </c>
      <c r="I39" s="24">
        <v>10.31</v>
      </c>
      <c r="J39" s="24" t="s">
        <v>14</v>
      </c>
      <c r="K39" s="15" t="s">
        <v>20</v>
      </c>
      <c r="M39" s="2" t="s">
        <v>22</v>
      </c>
      <c r="N39" s="24">
        <f>SUMIFS(I:I,H:H,M39,J:J,"PENDENTE")</f>
        <v>1470.5900000000001</v>
      </c>
      <c r="O39" s="24">
        <f>250</f>
        <v>250</v>
      </c>
      <c r="P39" s="24">
        <f t="shared" ref="P39:P42" si="0">N39-O39</f>
        <v>1220.5900000000001</v>
      </c>
    </row>
    <row r="40" spans="4:22" x14ac:dyDescent="0.25">
      <c r="D40" s="17" t="s">
        <v>82</v>
      </c>
      <c r="E40" s="18"/>
      <c r="F40" s="3"/>
      <c r="G40" s="3"/>
      <c r="H40" s="3" t="s">
        <v>13</v>
      </c>
      <c r="I40" s="24">
        <f>20+12.7</f>
        <v>32.700000000000003</v>
      </c>
      <c r="J40" s="24" t="s">
        <v>14</v>
      </c>
      <c r="K40" s="15" t="s">
        <v>20</v>
      </c>
      <c r="M40" s="2" t="s">
        <v>21</v>
      </c>
      <c r="N40" s="24">
        <f>SUMIFS(I:I,H:H,M40,J:J,"PENDENTE")</f>
        <v>371.49999999999994</v>
      </c>
      <c r="O40" s="24"/>
      <c r="P40" s="24">
        <f t="shared" si="0"/>
        <v>371.49999999999994</v>
      </c>
    </row>
    <row r="41" spans="4:22" x14ac:dyDescent="0.25">
      <c r="D41" s="17">
        <v>99</v>
      </c>
      <c r="E41" s="18"/>
      <c r="F41" s="3"/>
      <c r="G41" s="3"/>
      <c r="H41" s="3" t="s">
        <v>13</v>
      </c>
      <c r="I41" s="24">
        <v>48</v>
      </c>
      <c r="J41" s="24" t="s">
        <v>14</v>
      </c>
      <c r="K41" s="15" t="s">
        <v>20</v>
      </c>
      <c r="M41" s="2" t="s">
        <v>26</v>
      </c>
      <c r="N41" s="24">
        <f>SUMIFS(I:I,H:H,M41,J:J,"PENDENTE")</f>
        <v>183.72</v>
      </c>
      <c r="O41" s="24"/>
      <c r="P41" s="24">
        <f t="shared" si="0"/>
        <v>183.72</v>
      </c>
    </row>
    <row r="42" spans="4:22" x14ac:dyDescent="0.25">
      <c r="D42" s="17" t="s">
        <v>61</v>
      </c>
      <c r="E42" s="18"/>
      <c r="F42" s="3"/>
      <c r="G42" s="3"/>
      <c r="H42" s="3" t="s">
        <v>13</v>
      </c>
      <c r="I42" s="24">
        <v>13</v>
      </c>
      <c r="J42" s="24" t="s">
        <v>14</v>
      </c>
      <c r="K42" s="15" t="s">
        <v>20</v>
      </c>
      <c r="M42" s="2" t="s">
        <v>28</v>
      </c>
      <c r="N42" s="24">
        <f>SUMIFS(I:I,H:H,M42,J:J,"PENDENTE")</f>
        <v>333.16</v>
      </c>
      <c r="O42" s="24"/>
      <c r="P42" s="24">
        <f t="shared" si="0"/>
        <v>333.16</v>
      </c>
    </row>
    <row r="43" spans="4:22" x14ac:dyDescent="0.25">
      <c r="D43" s="14" t="s">
        <v>83</v>
      </c>
      <c r="E43" s="2"/>
      <c r="F43" s="3"/>
      <c r="G43" s="3"/>
      <c r="H43" s="3" t="s">
        <v>13</v>
      </c>
      <c r="I43" s="24">
        <v>29.95</v>
      </c>
      <c r="J43" s="3" t="s">
        <v>14</v>
      </c>
      <c r="K43" s="15" t="s">
        <v>20</v>
      </c>
    </row>
    <row r="44" spans="4:22" x14ac:dyDescent="0.25">
      <c r="D44" s="14" t="s">
        <v>71</v>
      </c>
      <c r="E44" s="2"/>
      <c r="F44" s="3"/>
      <c r="G44" s="3"/>
      <c r="H44" s="3" t="s">
        <v>13</v>
      </c>
      <c r="I44" s="24">
        <v>4.99</v>
      </c>
      <c r="J44" s="3" t="s">
        <v>14</v>
      </c>
      <c r="K44" s="15" t="s">
        <v>20</v>
      </c>
    </row>
    <row r="45" spans="4:22" x14ac:dyDescent="0.25">
      <c r="D45" s="14" t="s">
        <v>71</v>
      </c>
      <c r="E45" s="2"/>
      <c r="F45" s="3"/>
      <c r="G45" s="3"/>
      <c r="H45" s="3" t="s">
        <v>13</v>
      </c>
      <c r="I45" s="24">
        <v>7</v>
      </c>
      <c r="J45" s="3" t="s">
        <v>14</v>
      </c>
      <c r="K45" s="15" t="s">
        <v>20</v>
      </c>
    </row>
    <row r="46" spans="4:22" x14ac:dyDescent="0.25">
      <c r="D46" s="14" t="s">
        <v>61</v>
      </c>
      <c r="E46" s="2"/>
      <c r="F46" s="3"/>
      <c r="G46" s="3"/>
      <c r="H46" s="3" t="s">
        <v>13</v>
      </c>
      <c r="I46" s="24">
        <v>5.5</v>
      </c>
      <c r="J46" s="3" t="s">
        <v>14</v>
      </c>
      <c r="K46" s="15" t="s">
        <v>20</v>
      </c>
    </row>
    <row r="47" spans="4:22" x14ac:dyDescent="0.25">
      <c r="D47" s="14" t="s">
        <v>61</v>
      </c>
      <c r="E47" s="2"/>
      <c r="F47" s="3"/>
      <c r="G47" s="3"/>
      <c r="H47" s="3" t="s">
        <v>13</v>
      </c>
      <c r="I47" s="24">
        <v>10</v>
      </c>
      <c r="J47" s="3" t="s">
        <v>14</v>
      </c>
      <c r="K47" s="15" t="s">
        <v>20</v>
      </c>
      <c r="N47" s="30" t="s">
        <v>22</v>
      </c>
      <c r="O47" s="30"/>
      <c r="P47" s="30"/>
    </row>
    <row r="48" spans="4:22" x14ac:dyDescent="0.25">
      <c r="D48" s="14" t="s">
        <v>20</v>
      </c>
      <c r="E48" s="2"/>
      <c r="F48" s="3"/>
      <c r="G48" s="3"/>
      <c r="H48" s="3" t="s">
        <v>21</v>
      </c>
      <c r="I48" s="24">
        <v>25.21</v>
      </c>
      <c r="J48" s="3" t="s">
        <v>14</v>
      </c>
      <c r="K48" s="15" t="s">
        <v>20</v>
      </c>
      <c r="N48" s="2" t="s">
        <v>57</v>
      </c>
      <c r="O48" s="3" t="s">
        <v>22</v>
      </c>
      <c r="P48" s="24">
        <v>155</v>
      </c>
    </row>
    <row r="49" spans="4:16" x14ac:dyDescent="0.25">
      <c r="D49" s="14" t="s">
        <v>20</v>
      </c>
      <c r="E49" s="2"/>
      <c r="F49" s="3"/>
      <c r="G49" s="3"/>
      <c r="H49" s="3" t="s">
        <v>21</v>
      </c>
      <c r="I49" s="24">
        <v>61.89</v>
      </c>
      <c r="J49" s="3" t="s">
        <v>14</v>
      </c>
      <c r="K49" s="15" t="s">
        <v>20</v>
      </c>
      <c r="N49" s="2" t="s">
        <v>70</v>
      </c>
      <c r="O49" s="3" t="s">
        <v>22</v>
      </c>
      <c r="P49" s="24">
        <v>420</v>
      </c>
    </row>
    <row r="50" spans="4:16" x14ac:dyDescent="0.25">
      <c r="D50" s="14" t="s">
        <v>84</v>
      </c>
      <c r="E50" s="2"/>
      <c r="F50" s="3"/>
      <c r="G50" s="3"/>
      <c r="H50" s="3" t="s">
        <v>21</v>
      </c>
      <c r="I50" s="24">
        <v>175.1</v>
      </c>
      <c r="J50" s="3" t="s">
        <v>14</v>
      </c>
      <c r="K50" s="15" t="s">
        <v>20</v>
      </c>
      <c r="N50" s="2" t="s">
        <v>45</v>
      </c>
      <c r="O50" s="3" t="s">
        <v>22</v>
      </c>
      <c r="P50" s="24">
        <v>37.1</v>
      </c>
    </row>
    <row r="51" spans="4:16" x14ac:dyDescent="0.25">
      <c r="D51" s="14" t="s">
        <v>85</v>
      </c>
      <c r="E51" s="2"/>
      <c r="F51" s="3"/>
      <c r="G51" s="3"/>
      <c r="H51" s="3" t="s">
        <v>13</v>
      </c>
      <c r="I51" s="24">
        <v>230</v>
      </c>
      <c r="J51" s="3" t="s">
        <v>14</v>
      </c>
      <c r="K51" s="15" t="s">
        <v>20</v>
      </c>
      <c r="N51" s="2" t="s">
        <v>96</v>
      </c>
      <c r="O51" s="3" t="s">
        <v>22</v>
      </c>
      <c r="P51" s="24">
        <v>596.88</v>
      </c>
    </row>
    <row r="52" spans="4:16" x14ac:dyDescent="0.25">
      <c r="D52" s="14" t="s">
        <v>86</v>
      </c>
      <c r="E52" s="2"/>
      <c r="F52" s="3"/>
      <c r="G52" s="3"/>
      <c r="H52" s="3" t="s">
        <v>13</v>
      </c>
      <c r="I52" s="24">
        <v>37.11</v>
      </c>
      <c r="J52" s="3" t="s">
        <v>14</v>
      </c>
      <c r="K52" s="15" t="s">
        <v>20</v>
      </c>
      <c r="N52" s="2" t="s">
        <v>97</v>
      </c>
      <c r="O52" s="3" t="s">
        <v>22</v>
      </c>
      <c r="P52" s="24">
        <v>74.47</v>
      </c>
    </row>
    <row r="53" spans="4:16" x14ac:dyDescent="0.25">
      <c r="D53" s="14" t="s">
        <v>20</v>
      </c>
      <c r="E53" s="2"/>
      <c r="F53" s="3"/>
      <c r="G53" s="3"/>
      <c r="H53" s="3" t="s">
        <v>21</v>
      </c>
      <c r="I53" s="24">
        <v>44.9</v>
      </c>
      <c r="J53" s="3" t="s">
        <v>14</v>
      </c>
      <c r="K53" s="15" t="s">
        <v>20</v>
      </c>
      <c r="N53" s="2" t="s">
        <v>99</v>
      </c>
      <c r="O53" s="3" t="s">
        <v>22</v>
      </c>
      <c r="P53" s="24">
        <v>187.14</v>
      </c>
    </row>
    <row r="54" spans="4:16" x14ac:dyDescent="0.25">
      <c r="D54" s="14" t="s">
        <v>61</v>
      </c>
      <c r="E54" s="2"/>
      <c r="F54" s="3"/>
      <c r="G54" s="3"/>
      <c r="H54" s="3" t="s">
        <v>13</v>
      </c>
      <c r="I54" s="24">
        <v>31.03</v>
      </c>
      <c r="J54" s="3" t="s">
        <v>14</v>
      </c>
      <c r="K54" s="15" t="s">
        <v>20</v>
      </c>
      <c r="N54" s="2" t="s">
        <v>102</v>
      </c>
      <c r="O54" s="3" t="s">
        <v>22</v>
      </c>
      <c r="P54" s="24">
        <v>353.24</v>
      </c>
    </row>
    <row r="55" spans="4:16" x14ac:dyDescent="0.25">
      <c r="D55" s="14" t="s">
        <v>61</v>
      </c>
      <c r="E55" s="2"/>
      <c r="F55" s="3"/>
      <c r="G55" s="3"/>
      <c r="H55" s="3" t="s">
        <v>13</v>
      </c>
      <c r="I55" s="24">
        <v>28</v>
      </c>
      <c r="J55" s="3" t="s">
        <v>14</v>
      </c>
      <c r="K55" s="15" t="s">
        <v>20</v>
      </c>
      <c r="P55" s="19">
        <f>SUM(P48:P54)</f>
        <v>1823.8300000000002</v>
      </c>
    </row>
    <row r="56" spans="4:16" x14ac:dyDescent="0.25">
      <c r="D56" s="14" t="s">
        <v>61</v>
      </c>
      <c r="E56" s="2"/>
      <c r="F56" s="3"/>
      <c r="G56" s="3"/>
      <c r="H56" s="3" t="s">
        <v>13</v>
      </c>
      <c r="I56" s="24">
        <v>17.5</v>
      </c>
      <c r="J56" s="3" t="s">
        <v>14</v>
      </c>
      <c r="K56" s="15" t="s">
        <v>20</v>
      </c>
    </row>
    <row r="57" spans="4:16" x14ac:dyDescent="0.25">
      <c r="D57" s="14" t="s">
        <v>87</v>
      </c>
      <c r="E57" s="2"/>
      <c r="F57" s="3"/>
      <c r="G57" s="3"/>
      <c r="H57" s="3" t="s">
        <v>13</v>
      </c>
      <c r="I57" s="24">
        <v>25</v>
      </c>
      <c r="J57" s="3" t="s">
        <v>14</v>
      </c>
      <c r="K57" s="15" t="s">
        <v>20</v>
      </c>
    </row>
    <row r="58" spans="4:16" x14ac:dyDescent="0.25">
      <c r="D58" s="14" t="s">
        <v>88</v>
      </c>
      <c r="E58" s="2"/>
      <c r="F58" s="3"/>
      <c r="G58" s="3"/>
      <c r="H58" s="3" t="s">
        <v>21</v>
      </c>
      <c r="I58" s="24">
        <v>29.4</v>
      </c>
      <c r="J58" s="3" t="s">
        <v>14</v>
      </c>
      <c r="K58" s="15" t="s">
        <v>20</v>
      </c>
    </row>
    <row r="59" spans="4:16" x14ac:dyDescent="0.25">
      <c r="D59" s="14" t="s">
        <v>89</v>
      </c>
      <c r="E59" s="2"/>
      <c r="F59" s="3"/>
      <c r="G59" s="3"/>
      <c r="H59" s="3" t="s">
        <v>13</v>
      </c>
      <c r="I59" s="24">
        <v>35</v>
      </c>
      <c r="J59" s="3" t="s">
        <v>14</v>
      </c>
      <c r="K59" s="15" t="s">
        <v>20</v>
      </c>
    </row>
    <row r="60" spans="4:16" x14ac:dyDescent="0.25">
      <c r="D60" s="14" t="s">
        <v>90</v>
      </c>
      <c r="E60" s="2"/>
      <c r="F60" s="3"/>
      <c r="G60" s="3"/>
      <c r="H60" s="3" t="s">
        <v>13</v>
      </c>
      <c r="I60" s="24">
        <v>6</v>
      </c>
      <c r="J60" s="3" t="s">
        <v>14</v>
      </c>
      <c r="K60" s="15" t="s">
        <v>20</v>
      </c>
    </row>
    <row r="61" spans="4:16" x14ac:dyDescent="0.25">
      <c r="D61" s="14" t="s">
        <v>91</v>
      </c>
      <c r="E61" s="2"/>
      <c r="F61" s="3"/>
      <c r="G61" s="3"/>
      <c r="H61" s="3" t="s">
        <v>13</v>
      </c>
      <c r="I61" s="24">
        <v>41</v>
      </c>
      <c r="J61" s="3" t="s">
        <v>14</v>
      </c>
      <c r="K61" s="15" t="s">
        <v>20</v>
      </c>
    </row>
    <row r="62" spans="4:16" x14ac:dyDescent="0.25">
      <c r="D62" s="14" t="s">
        <v>92</v>
      </c>
      <c r="E62" s="2"/>
      <c r="F62" s="3"/>
      <c r="G62" s="3"/>
      <c r="H62" s="3" t="s">
        <v>13</v>
      </c>
      <c r="I62" s="24">
        <v>32.14</v>
      </c>
      <c r="J62" s="3" t="s">
        <v>14</v>
      </c>
      <c r="K62" s="15" t="s">
        <v>20</v>
      </c>
    </row>
    <row r="63" spans="4:16" x14ac:dyDescent="0.25">
      <c r="D63" s="14" t="s">
        <v>75</v>
      </c>
      <c r="E63" s="2"/>
      <c r="F63" s="3"/>
      <c r="G63" s="3"/>
      <c r="H63" s="3" t="s">
        <v>13</v>
      </c>
      <c r="I63" s="24">
        <v>111.81</v>
      </c>
      <c r="J63" s="3" t="s">
        <v>14</v>
      </c>
      <c r="K63" s="15" t="s">
        <v>20</v>
      </c>
    </row>
    <row r="64" spans="4:16" x14ac:dyDescent="0.25">
      <c r="D64" s="14" t="s">
        <v>90</v>
      </c>
      <c r="E64" s="2"/>
      <c r="F64" s="3"/>
      <c r="G64" s="3"/>
      <c r="H64" s="3" t="s">
        <v>13</v>
      </c>
      <c r="I64" s="24">
        <v>7.45</v>
      </c>
      <c r="J64" s="3" t="s">
        <v>14</v>
      </c>
      <c r="K64" s="15" t="s">
        <v>20</v>
      </c>
    </row>
    <row r="65" spans="4:11" x14ac:dyDescent="0.25">
      <c r="D65" s="14">
        <v>99</v>
      </c>
      <c r="E65" s="2"/>
      <c r="F65" s="3"/>
      <c r="G65" s="3"/>
      <c r="H65" s="3" t="s">
        <v>13</v>
      </c>
      <c r="I65" s="24">
        <v>19.78</v>
      </c>
      <c r="J65" s="3" t="s">
        <v>14</v>
      </c>
      <c r="K65" s="15" t="s">
        <v>20</v>
      </c>
    </row>
    <row r="66" spans="4:11" x14ac:dyDescent="0.25">
      <c r="D66" s="14" t="s">
        <v>93</v>
      </c>
      <c r="E66" s="2"/>
      <c r="F66" s="3"/>
      <c r="G66" s="3"/>
      <c r="H66" s="3" t="s">
        <v>13</v>
      </c>
      <c r="I66" s="24">
        <v>37.270000000000003</v>
      </c>
      <c r="J66" s="3" t="s">
        <v>14</v>
      </c>
      <c r="K66" s="15" t="s">
        <v>20</v>
      </c>
    </row>
    <row r="67" spans="4:11" x14ac:dyDescent="0.25">
      <c r="D67" s="14" t="s">
        <v>45</v>
      </c>
      <c r="E67" s="2"/>
      <c r="F67" s="3"/>
      <c r="G67" s="3"/>
      <c r="H67" s="3" t="s">
        <v>13</v>
      </c>
      <c r="I67" s="24">
        <v>42.42</v>
      </c>
      <c r="J67" s="3" t="s">
        <v>14</v>
      </c>
      <c r="K67" s="15" t="s">
        <v>20</v>
      </c>
    </row>
    <row r="68" spans="4:11" x14ac:dyDescent="0.25">
      <c r="D68" s="14">
        <v>99</v>
      </c>
      <c r="E68" s="2"/>
      <c r="F68" s="3"/>
      <c r="G68" s="3"/>
      <c r="H68" s="3" t="s">
        <v>13</v>
      </c>
      <c r="I68" s="24">
        <v>22.4</v>
      </c>
      <c r="J68" s="3" t="s">
        <v>14</v>
      </c>
      <c r="K68" s="15" t="s">
        <v>20</v>
      </c>
    </row>
    <row r="69" spans="4:11" x14ac:dyDescent="0.25">
      <c r="D69" s="14" t="s">
        <v>64</v>
      </c>
      <c r="E69" s="2"/>
      <c r="F69" s="3"/>
      <c r="G69" s="3"/>
      <c r="H69" s="3" t="s">
        <v>13</v>
      </c>
      <c r="I69" s="24">
        <v>9.5</v>
      </c>
      <c r="J69" s="3" t="s">
        <v>14</v>
      </c>
      <c r="K69" s="15" t="s">
        <v>20</v>
      </c>
    </row>
    <row r="70" spans="4:11" x14ac:dyDescent="0.25">
      <c r="D70" s="14" t="s">
        <v>94</v>
      </c>
      <c r="E70" s="2"/>
      <c r="F70" s="3"/>
      <c r="G70" s="3"/>
      <c r="H70" s="3" t="s">
        <v>13</v>
      </c>
      <c r="I70" s="24">
        <v>26.9</v>
      </c>
      <c r="J70" s="3" t="s">
        <v>14</v>
      </c>
      <c r="K70" s="15" t="s">
        <v>20</v>
      </c>
    </row>
    <row r="71" spans="4:11" x14ac:dyDescent="0.25">
      <c r="D71" s="14" t="s">
        <v>45</v>
      </c>
      <c r="E71" s="2"/>
      <c r="F71" s="3"/>
      <c r="G71" s="3"/>
      <c r="H71" s="3" t="s">
        <v>13</v>
      </c>
      <c r="I71" s="24">
        <v>42.83</v>
      </c>
      <c r="J71" s="3" t="s">
        <v>14</v>
      </c>
      <c r="K71" s="15" t="s">
        <v>20</v>
      </c>
    </row>
    <row r="72" spans="4:11" x14ac:dyDescent="0.25">
      <c r="D72" s="14">
        <v>99</v>
      </c>
      <c r="E72" s="2"/>
      <c r="F72" s="3"/>
      <c r="G72" s="3"/>
      <c r="H72" s="3" t="s">
        <v>13</v>
      </c>
      <c r="I72" s="24">
        <v>22.4</v>
      </c>
      <c r="J72" s="3" t="s">
        <v>14</v>
      </c>
      <c r="K72" s="15" t="s">
        <v>20</v>
      </c>
    </row>
    <row r="73" spans="4:11" x14ac:dyDescent="0.25">
      <c r="D73" s="14">
        <v>99</v>
      </c>
      <c r="E73" s="2"/>
      <c r="F73" s="3"/>
      <c r="G73" s="3"/>
      <c r="H73" s="3" t="s">
        <v>13</v>
      </c>
      <c r="I73" s="24">
        <v>53.9</v>
      </c>
      <c r="J73" s="3" t="s">
        <v>14</v>
      </c>
      <c r="K73" s="15" t="s">
        <v>20</v>
      </c>
    </row>
    <row r="74" spans="4:11" x14ac:dyDescent="0.25">
      <c r="D74" s="14" t="s">
        <v>95</v>
      </c>
      <c r="E74" s="2"/>
      <c r="F74" s="3"/>
      <c r="G74" s="3"/>
      <c r="H74" s="3" t="s">
        <v>21</v>
      </c>
      <c r="I74" s="24">
        <v>35</v>
      </c>
      <c r="J74" s="3" t="s">
        <v>14</v>
      </c>
      <c r="K74" s="15" t="s">
        <v>17</v>
      </c>
    </row>
    <row r="75" spans="4:11" x14ac:dyDescent="0.25">
      <c r="D75" s="14" t="s">
        <v>45</v>
      </c>
      <c r="E75" s="2"/>
      <c r="F75" s="3"/>
      <c r="G75" s="3"/>
      <c r="H75" s="3" t="s">
        <v>22</v>
      </c>
      <c r="I75" s="24">
        <v>37.1</v>
      </c>
      <c r="J75" s="3" t="s">
        <v>14</v>
      </c>
      <c r="K75" s="15" t="s">
        <v>17</v>
      </c>
    </row>
    <row r="76" spans="4:11" x14ac:dyDescent="0.25">
      <c r="D76" s="14" t="s">
        <v>96</v>
      </c>
      <c r="E76" s="2"/>
      <c r="F76" s="3"/>
      <c r="G76" s="3"/>
      <c r="H76" s="3" t="s">
        <v>22</v>
      </c>
      <c r="I76" s="24">
        <v>596.88</v>
      </c>
      <c r="J76" s="3" t="s">
        <v>14</v>
      </c>
      <c r="K76" s="15" t="s">
        <v>17</v>
      </c>
    </row>
    <row r="77" spans="4:11" x14ac:dyDescent="0.25">
      <c r="D77" s="14" t="s">
        <v>63</v>
      </c>
      <c r="E77" s="2"/>
      <c r="F77" s="3"/>
      <c r="G77" s="3"/>
      <c r="H77" s="3" t="s">
        <v>13</v>
      </c>
      <c r="I77" s="24">
        <v>4</v>
      </c>
      <c r="J77" s="3" t="s">
        <v>14</v>
      </c>
      <c r="K77" s="15" t="s">
        <v>17</v>
      </c>
    </row>
    <row r="78" spans="4:11" x14ac:dyDescent="0.25">
      <c r="D78" s="14" t="s">
        <v>49</v>
      </c>
      <c r="E78" s="2"/>
      <c r="F78" s="3"/>
      <c r="G78" s="3"/>
      <c r="H78" s="3" t="s">
        <v>13</v>
      </c>
      <c r="I78" s="24">
        <v>112.97</v>
      </c>
      <c r="J78" s="3" t="s">
        <v>14</v>
      </c>
      <c r="K78" s="15" t="s">
        <v>17</v>
      </c>
    </row>
    <row r="79" spans="4:11" x14ac:dyDescent="0.25">
      <c r="D79" s="14" t="s">
        <v>97</v>
      </c>
      <c r="E79" s="2"/>
      <c r="F79" s="3"/>
      <c r="G79" s="3"/>
      <c r="H79" s="3" t="s">
        <v>22</v>
      </c>
      <c r="I79" s="24">
        <v>74.47</v>
      </c>
      <c r="J79" s="3" t="s">
        <v>14</v>
      </c>
      <c r="K79" s="15" t="s">
        <v>17</v>
      </c>
    </row>
    <row r="80" spans="4:11" x14ac:dyDescent="0.25">
      <c r="D80" s="14" t="s">
        <v>98</v>
      </c>
      <c r="E80" s="2"/>
      <c r="F80" s="3"/>
      <c r="G80" s="3"/>
      <c r="H80" s="3" t="s">
        <v>13</v>
      </c>
      <c r="I80" s="24">
        <v>310.54000000000002</v>
      </c>
      <c r="J80" s="3" t="s">
        <v>14</v>
      </c>
      <c r="K80" s="15" t="s">
        <v>17</v>
      </c>
    </row>
    <row r="81" spans="4:11" x14ac:dyDescent="0.25">
      <c r="D81" s="14" t="s">
        <v>90</v>
      </c>
      <c r="E81" s="2"/>
      <c r="F81" s="3"/>
      <c r="G81" s="3"/>
      <c r="H81" s="3" t="s">
        <v>13</v>
      </c>
      <c r="I81" s="24">
        <v>7</v>
      </c>
      <c r="J81" s="3" t="s">
        <v>14</v>
      </c>
      <c r="K81" s="15" t="s">
        <v>17</v>
      </c>
    </row>
    <row r="82" spans="4:11" x14ac:dyDescent="0.25">
      <c r="D82" s="14" t="s">
        <v>93</v>
      </c>
      <c r="E82" s="2"/>
      <c r="F82" s="3"/>
      <c r="G82" s="3"/>
      <c r="H82" s="3" t="s">
        <v>13</v>
      </c>
      <c r="I82" s="24">
        <v>48.49</v>
      </c>
      <c r="J82" s="3" t="s">
        <v>14</v>
      </c>
      <c r="K82" s="15" t="s">
        <v>17</v>
      </c>
    </row>
    <row r="83" spans="4:11" x14ac:dyDescent="0.25">
      <c r="D83" s="14" t="s">
        <v>93</v>
      </c>
      <c r="E83" s="2"/>
      <c r="F83" s="3"/>
      <c r="G83" s="3"/>
      <c r="H83" s="3" t="s">
        <v>13</v>
      </c>
      <c r="I83" s="24">
        <v>18.87</v>
      </c>
      <c r="J83" s="3" t="s">
        <v>14</v>
      </c>
      <c r="K83" s="15" t="s">
        <v>17</v>
      </c>
    </row>
    <row r="84" spans="4:11" x14ac:dyDescent="0.25">
      <c r="D84" s="14" t="s">
        <v>99</v>
      </c>
      <c r="E84" s="2"/>
      <c r="F84" s="3"/>
      <c r="G84" s="3"/>
      <c r="H84" s="3" t="s">
        <v>22</v>
      </c>
      <c r="I84" s="24">
        <v>187.14</v>
      </c>
      <c r="J84" s="3" t="s">
        <v>14</v>
      </c>
      <c r="K84" s="15" t="s">
        <v>17</v>
      </c>
    </row>
    <row r="85" spans="4:11" x14ac:dyDescent="0.25">
      <c r="D85" s="14">
        <v>99</v>
      </c>
      <c r="E85" s="2"/>
      <c r="F85" s="3"/>
      <c r="G85" s="3"/>
      <c r="H85" s="3" t="s">
        <v>13</v>
      </c>
      <c r="I85" s="24">
        <v>22.4</v>
      </c>
      <c r="J85" s="3" t="s">
        <v>14</v>
      </c>
      <c r="K85" s="15" t="s">
        <v>17</v>
      </c>
    </row>
    <row r="86" spans="4:11" ht="15" customHeight="1" x14ac:dyDescent="0.25">
      <c r="D86" s="14" t="s">
        <v>64</v>
      </c>
      <c r="E86" s="2"/>
      <c r="F86" s="3"/>
      <c r="G86" s="3"/>
      <c r="H86" s="3" t="s">
        <v>13</v>
      </c>
      <c r="I86" s="24">
        <v>11.99</v>
      </c>
      <c r="J86" s="3" t="s">
        <v>14</v>
      </c>
      <c r="K86" s="15" t="s">
        <v>17</v>
      </c>
    </row>
    <row r="87" spans="4:11" x14ac:dyDescent="0.25">
      <c r="D87" s="14" t="s">
        <v>63</v>
      </c>
      <c r="E87" s="2"/>
      <c r="F87" s="3"/>
      <c r="G87" s="3"/>
      <c r="H87" s="3" t="s">
        <v>13</v>
      </c>
      <c r="I87" s="24">
        <v>2</v>
      </c>
      <c r="J87" s="3" t="s">
        <v>14</v>
      </c>
      <c r="K87" s="15" t="s">
        <v>17</v>
      </c>
    </row>
    <row r="88" spans="4:11" x14ac:dyDescent="0.25">
      <c r="D88" s="14" t="s">
        <v>93</v>
      </c>
      <c r="E88" s="2"/>
      <c r="F88" s="3"/>
      <c r="G88" s="3"/>
      <c r="H88" s="3" t="s">
        <v>13</v>
      </c>
      <c r="I88" s="24">
        <v>15.19</v>
      </c>
      <c r="J88" s="3" t="s">
        <v>14</v>
      </c>
      <c r="K88" s="15" t="s">
        <v>17</v>
      </c>
    </row>
    <row r="89" spans="4:11" x14ac:dyDescent="0.25">
      <c r="D89" s="14" t="s">
        <v>100</v>
      </c>
      <c r="E89" s="2"/>
      <c r="F89" s="3"/>
      <c r="G89" s="3"/>
      <c r="H89" s="3" t="s">
        <v>13</v>
      </c>
      <c r="I89" s="24">
        <v>8</v>
      </c>
      <c r="J89" s="3" t="s">
        <v>14</v>
      </c>
      <c r="K89" s="15" t="s">
        <v>17</v>
      </c>
    </row>
    <row r="90" spans="4:11" x14ac:dyDescent="0.25">
      <c r="D90" s="14" t="s">
        <v>101</v>
      </c>
      <c r="E90" s="2"/>
      <c r="F90" s="3"/>
      <c r="G90" s="3"/>
      <c r="H90" s="3" t="s">
        <v>13</v>
      </c>
      <c r="I90" s="24">
        <v>95.91</v>
      </c>
      <c r="J90" s="3" t="s">
        <v>14</v>
      </c>
      <c r="K90" s="15" t="s">
        <v>17</v>
      </c>
    </row>
    <row r="91" spans="4:11" x14ac:dyDescent="0.25">
      <c r="D91" s="14" t="s">
        <v>90</v>
      </c>
      <c r="E91" s="2"/>
      <c r="F91" s="3"/>
      <c r="G91" s="3"/>
      <c r="H91" s="3" t="s">
        <v>13</v>
      </c>
      <c r="I91" s="24">
        <v>21</v>
      </c>
      <c r="J91" s="3" t="s">
        <v>14</v>
      </c>
      <c r="K91" s="15" t="s">
        <v>17</v>
      </c>
    </row>
    <row r="92" spans="4:11" x14ac:dyDescent="0.25">
      <c r="D92" s="14" t="s">
        <v>62</v>
      </c>
      <c r="E92" s="2"/>
      <c r="F92" s="3"/>
      <c r="G92" s="3"/>
      <c r="H92" s="3" t="s">
        <v>13</v>
      </c>
      <c r="I92" s="24">
        <v>8</v>
      </c>
      <c r="J92" s="3" t="s">
        <v>14</v>
      </c>
      <c r="K92" s="15" t="s">
        <v>17</v>
      </c>
    </row>
    <row r="93" spans="4:11" ht="15" customHeight="1" x14ac:dyDescent="0.25">
      <c r="D93" s="14"/>
      <c r="E93" s="2"/>
      <c r="F93" s="3"/>
      <c r="G93" s="3"/>
      <c r="H93" s="3"/>
      <c r="I93" s="24"/>
      <c r="J93" s="3" t="s">
        <v>14</v>
      </c>
      <c r="K93" s="15"/>
    </row>
    <row r="94" spans="4:11" ht="15" customHeight="1" x14ac:dyDescent="0.25">
      <c r="D94" s="14"/>
      <c r="E94" s="2"/>
      <c r="F94" s="3"/>
      <c r="G94" s="3"/>
      <c r="H94" s="3"/>
      <c r="I94" s="24"/>
      <c r="J94" s="3" t="s">
        <v>14</v>
      </c>
      <c r="K94" s="15"/>
    </row>
    <row r="95" spans="4:11" ht="15" customHeight="1" x14ac:dyDescent="0.25">
      <c r="D95" s="14"/>
      <c r="E95" s="2"/>
      <c r="F95" s="3"/>
      <c r="G95" s="3"/>
      <c r="H95" s="3"/>
      <c r="I95" s="24"/>
      <c r="J95" s="3" t="s">
        <v>14</v>
      </c>
      <c r="K95" s="15"/>
    </row>
    <row r="96" spans="4:11" ht="15" customHeight="1" x14ac:dyDescent="0.25">
      <c r="D96" s="14"/>
      <c r="E96" s="2"/>
      <c r="F96" s="3"/>
      <c r="G96" s="3"/>
      <c r="H96" s="3"/>
      <c r="I96" s="24"/>
      <c r="J96" s="3" t="s">
        <v>14</v>
      </c>
      <c r="K96" s="15"/>
    </row>
    <row r="97" spans="4:11" ht="15" customHeight="1" x14ac:dyDescent="0.25">
      <c r="D97" s="14"/>
      <c r="E97" s="2"/>
      <c r="F97" s="3"/>
      <c r="G97" s="3"/>
      <c r="H97" s="3"/>
      <c r="I97" s="24"/>
      <c r="J97" s="3" t="s">
        <v>14</v>
      </c>
      <c r="K97" s="15"/>
    </row>
    <row r="98" spans="4:11" ht="15" customHeight="1" x14ac:dyDescent="0.25">
      <c r="D98" s="14"/>
      <c r="E98" s="2"/>
      <c r="F98" s="3"/>
      <c r="G98" s="3"/>
      <c r="H98" s="3"/>
      <c r="I98" s="24"/>
      <c r="J98" s="3" t="s">
        <v>14</v>
      </c>
      <c r="K98" s="15"/>
    </row>
    <row r="99" spans="4:11" ht="15" customHeight="1" x14ac:dyDescent="0.25">
      <c r="D99" s="14"/>
      <c r="E99" s="2"/>
      <c r="F99" s="3"/>
      <c r="G99" s="3"/>
      <c r="H99" s="3"/>
      <c r="I99" s="24"/>
      <c r="J99" s="3" t="s">
        <v>14</v>
      </c>
      <c r="K99" s="15"/>
    </row>
    <row r="100" spans="4:11" ht="15" customHeight="1" x14ac:dyDescent="0.25">
      <c r="D100" s="14"/>
      <c r="E100" s="2"/>
      <c r="F100" s="3"/>
      <c r="G100" s="3"/>
      <c r="H100" s="3"/>
      <c r="I100" s="24"/>
      <c r="J100" s="3" t="s">
        <v>14</v>
      </c>
      <c r="K100" s="15"/>
    </row>
    <row r="101" spans="4:11" ht="15" customHeight="1" x14ac:dyDescent="0.25">
      <c r="D101" s="14"/>
      <c r="E101" s="2"/>
      <c r="F101" s="3"/>
      <c r="G101" s="3"/>
      <c r="H101" s="3"/>
      <c r="I101" s="24"/>
      <c r="J101" s="3" t="s">
        <v>14</v>
      </c>
      <c r="K101" s="15"/>
    </row>
    <row r="102" spans="4:11" ht="15" customHeight="1" x14ac:dyDescent="0.25">
      <c r="D102" s="14"/>
      <c r="E102" s="2"/>
      <c r="F102" s="3"/>
      <c r="G102" s="3"/>
      <c r="H102" s="3"/>
      <c r="I102" s="24"/>
      <c r="J102" s="3" t="s">
        <v>14</v>
      </c>
      <c r="K102" s="15"/>
    </row>
    <row r="103" spans="4:11" ht="15" customHeight="1" x14ac:dyDescent="0.25">
      <c r="D103" s="14"/>
      <c r="E103" s="2"/>
      <c r="F103" s="3"/>
      <c r="G103" s="3"/>
      <c r="H103" s="3"/>
      <c r="I103" s="24"/>
      <c r="J103" s="3" t="s">
        <v>14</v>
      </c>
      <c r="K103" s="15"/>
    </row>
    <row r="104" spans="4:11" ht="15" customHeight="1" x14ac:dyDescent="0.25">
      <c r="D104" s="14"/>
      <c r="E104" s="2"/>
      <c r="F104" s="3"/>
      <c r="G104" s="3"/>
      <c r="H104" s="3"/>
      <c r="I104" s="24"/>
      <c r="J104" s="3" t="s">
        <v>14</v>
      </c>
      <c r="K104" s="15"/>
    </row>
    <row r="105" spans="4:11" ht="15" customHeight="1" x14ac:dyDescent="0.25">
      <c r="D105" s="14"/>
      <c r="E105" s="2"/>
      <c r="F105" s="3"/>
      <c r="G105" s="3"/>
      <c r="H105" s="3"/>
      <c r="I105" s="24"/>
      <c r="J105" s="3" t="s">
        <v>14</v>
      </c>
      <c r="K105" s="15"/>
    </row>
    <row r="106" spans="4:11" ht="15" customHeight="1" x14ac:dyDescent="0.25">
      <c r="D106" s="14"/>
      <c r="E106" s="2"/>
      <c r="F106" s="3"/>
      <c r="G106" s="3"/>
      <c r="H106" s="3"/>
      <c r="I106" s="24"/>
      <c r="J106" s="3" t="s">
        <v>14</v>
      </c>
      <c r="K106" s="15"/>
    </row>
    <row r="107" spans="4:11" ht="15" customHeight="1" x14ac:dyDescent="0.25">
      <c r="D107" s="14"/>
      <c r="E107" s="2"/>
      <c r="F107" s="3"/>
      <c r="G107" s="3"/>
      <c r="H107" s="3"/>
      <c r="I107" s="24"/>
      <c r="J107" s="3" t="s">
        <v>14</v>
      </c>
      <c r="K107" s="15"/>
    </row>
    <row r="108" spans="4:11" ht="15" customHeight="1" x14ac:dyDescent="0.25">
      <c r="D108" s="14"/>
      <c r="E108" s="2"/>
      <c r="F108" s="3"/>
      <c r="G108" s="3"/>
      <c r="H108" s="3"/>
      <c r="I108" s="24"/>
      <c r="J108" s="3" t="s">
        <v>14</v>
      </c>
      <c r="K108" s="15"/>
    </row>
    <row r="109" spans="4:11" ht="15" customHeight="1" x14ac:dyDescent="0.25">
      <c r="D109" s="14"/>
      <c r="E109" s="2"/>
      <c r="F109" s="3"/>
      <c r="G109" s="3"/>
      <c r="H109" s="3"/>
      <c r="I109" s="24"/>
      <c r="J109" s="3" t="s">
        <v>14</v>
      </c>
      <c r="K109" s="15"/>
    </row>
    <row r="110" spans="4:11" ht="15" customHeight="1" x14ac:dyDescent="0.25">
      <c r="D110" s="14"/>
      <c r="E110" s="2"/>
      <c r="F110" s="3"/>
      <c r="G110" s="3"/>
      <c r="H110" s="3"/>
      <c r="I110" s="24"/>
      <c r="J110" s="3" t="s">
        <v>14</v>
      </c>
      <c r="K110" s="15"/>
    </row>
    <row r="111" spans="4:11" ht="15" customHeight="1" x14ac:dyDescent="0.25">
      <c r="D111" s="14"/>
      <c r="E111" s="2"/>
      <c r="F111" s="3"/>
      <c r="G111" s="3"/>
      <c r="H111" s="3"/>
      <c r="I111" s="24"/>
      <c r="J111" s="3" t="s">
        <v>14</v>
      </c>
      <c r="K111" s="15"/>
    </row>
    <row r="112" spans="4:11" ht="15" customHeight="1" x14ac:dyDescent="0.25">
      <c r="D112" s="14"/>
      <c r="E112" s="2"/>
      <c r="F112" s="3"/>
      <c r="G112" s="3"/>
      <c r="H112" s="3"/>
      <c r="I112" s="24"/>
      <c r="J112" s="3" t="s">
        <v>14</v>
      </c>
      <c r="K112" s="15"/>
    </row>
    <row r="113" spans="4:11" ht="15" customHeight="1" x14ac:dyDescent="0.25">
      <c r="D113" s="14"/>
      <c r="E113" s="2"/>
      <c r="F113" s="3"/>
      <c r="G113" s="3"/>
      <c r="H113" s="3"/>
      <c r="I113" s="24"/>
      <c r="J113" s="3" t="s">
        <v>14</v>
      </c>
      <c r="K113" s="15"/>
    </row>
    <row r="114" spans="4:11" ht="15" customHeight="1" x14ac:dyDescent="0.25">
      <c r="I114" s="19"/>
    </row>
    <row r="115" spans="4:11" ht="15" customHeight="1" x14ac:dyDescent="0.25">
      <c r="I115" s="19"/>
    </row>
    <row r="116" spans="4:11" ht="15" customHeight="1" x14ac:dyDescent="0.25">
      <c r="D116" s="34" t="s">
        <v>51</v>
      </c>
      <c r="E116" s="34"/>
      <c r="F116" s="34"/>
      <c r="G116" s="23"/>
      <c r="H116" s="35">
        <f>SUM(I5:I113)</f>
        <v>5153.6099999999997</v>
      </c>
      <c r="I116" s="35"/>
      <c r="J116" s="19"/>
    </row>
    <row r="117" spans="4:11" ht="15" customHeight="1" x14ac:dyDescent="0.25">
      <c r="D117" s="30" t="s">
        <v>52</v>
      </c>
      <c r="E117" s="30"/>
      <c r="F117" s="30"/>
      <c r="G117" s="3"/>
      <c r="H117" s="31"/>
      <c r="I117" s="31"/>
    </row>
    <row r="118" spans="4:11" ht="15" customHeight="1" x14ac:dyDescent="0.25">
      <c r="D118" s="30" t="s">
        <v>35</v>
      </c>
      <c r="E118" s="30"/>
      <c r="F118" s="30"/>
      <c r="G118" s="20"/>
      <c r="H118" s="31"/>
      <c r="I118" s="31"/>
    </row>
    <row r="119" spans="4:11" ht="15" customHeight="1" x14ac:dyDescent="0.25">
      <c r="D119" s="30" t="s">
        <v>53</v>
      </c>
      <c r="E119" s="30"/>
      <c r="F119" s="30"/>
      <c r="G119" s="20"/>
      <c r="H119" s="31"/>
      <c r="I119" s="31"/>
    </row>
    <row r="120" spans="4:11" ht="15" customHeight="1" x14ac:dyDescent="0.25">
      <c r="D120" s="30" t="s">
        <v>54</v>
      </c>
      <c r="E120" s="30"/>
      <c r="F120" s="30"/>
      <c r="G120" s="20"/>
      <c r="H120" s="31">
        <f>H119+H118</f>
        <v>0</v>
      </c>
      <c r="I120" s="31"/>
    </row>
    <row r="121" spans="4:11" ht="15" customHeight="1" x14ac:dyDescent="0.25">
      <c r="D121" s="32" t="s">
        <v>55</v>
      </c>
      <c r="E121" s="32"/>
      <c r="F121" s="32"/>
      <c r="G121" s="25"/>
      <c r="H121" s="33">
        <f>H116-H117</f>
        <v>5153.6099999999997</v>
      </c>
      <c r="I121" s="33"/>
    </row>
    <row r="122" spans="4:11" ht="15" customHeight="1" x14ac:dyDescent="0.25">
      <c r="D122" s="30" t="s">
        <v>56</v>
      </c>
      <c r="E122" s="30"/>
      <c r="F122" s="30"/>
      <c r="G122" s="3"/>
      <c r="H122" s="31">
        <f>H120-H121</f>
        <v>-5153.6099999999997</v>
      </c>
      <c r="I122" s="31"/>
    </row>
  </sheetData>
  <mergeCells count="21">
    <mergeCell ref="M36:N36"/>
    <mergeCell ref="D122:F122"/>
    <mergeCell ref="H122:I122"/>
    <mergeCell ref="D119:F119"/>
    <mergeCell ref="H119:I119"/>
    <mergeCell ref="D120:F120"/>
    <mergeCell ref="H120:I120"/>
    <mergeCell ref="D121:F121"/>
    <mergeCell ref="H121:I121"/>
    <mergeCell ref="D116:F116"/>
    <mergeCell ref="H116:I116"/>
    <mergeCell ref="D117:F117"/>
    <mergeCell ref="H117:I117"/>
    <mergeCell ref="D118:F118"/>
    <mergeCell ref="H118:I118"/>
    <mergeCell ref="N47:P47"/>
    <mergeCell ref="D3:K3"/>
    <mergeCell ref="M3:O3"/>
    <mergeCell ref="Q3:S3"/>
    <mergeCell ref="M13:N13"/>
    <mergeCell ref="M21:N21"/>
  </mergeCells>
  <phoneticPr fontId="6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92DB-9AF4-4AEA-977D-8DAD1174BF44}">
  <dimension ref="A1:C6"/>
  <sheetViews>
    <sheetView workbookViewId="0">
      <selection activeCell="C1" sqref="A1:C6"/>
    </sheetView>
  </sheetViews>
  <sheetFormatPr defaultRowHeight="15" x14ac:dyDescent="0.25"/>
  <cols>
    <col min="3" max="3" width="10.5703125" bestFit="1" customWidth="1"/>
  </cols>
  <sheetData>
    <row r="1" spans="1:3" x14ac:dyDescent="0.25">
      <c r="A1" s="8" t="s">
        <v>57</v>
      </c>
      <c r="B1" s="10" t="s">
        <v>22</v>
      </c>
      <c r="C1" s="11">
        <v>155</v>
      </c>
    </row>
    <row r="2" spans="1:3" x14ac:dyDescent="0.25">
      <c r="A2" s="14" t="s">
        <v>70</v>
      </c>
      <c r="B2" s="3" t="s">
        <v>22</v>
      </c>
      <c r="C2" s="24">
        <v>420</v>
      </c>
    </row>
    <row r="3" spans="1:3" x14ac:dyDescent="0.25">
      <c r="A3" s="14" t="s">
        <v>45</v>
      </c>
      <c r="B3" s="3" t="s">
        <v>22</v>
      </c>
      <c r="C3" s="24">
        <v>37.1</v>
      </c>
    </row>
    <row r="4" spans="1:3" x14ac:dyDescent="0.25">
      <c r="A4" s="14" t="s">
        <v>96</v>
      </c>
      <c r="B4" s="3" t="s">
        <v>22</v>
      </c>
      <c r="C4" s="24">
        <v>596.88</v>
      </c>
    </row>
    <row r="5" spans="1:3" x14ac:dyDescent="0.25">
      <c r="A5" s="14" t="s">
        <v>97</v>
      </c>
      <c r="B5" s="3" t="s">
        <v>22</v>
      </c>
      <c r="C5" s="24">
        <v>74.47</v>
      </c>
    </row>
    <row r="6" spans="1:3" x14ac:dyDescent="0.25">
      <c r="A6" s="14" t="s">
        <v>99</v>
      </c>
      <c r="B6" s="3" t="s">
        <v>22</v>
      </c>
      <c r="C6" s="24">
        <v>187.14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UNIFICADO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Daniel Santos Basilio</dc:creator>
  <cp:keywords/>
  <dc:description/>
  <cp:lastModifiedBy>ERIC DANIEL SANTOS BASILIO</cp:lastModifiedBy>
  <cp:revision>1</cp:revision>
  <dcterms:created xsi:type="dcterms:W3CDTF">2025-11-03T16:52:53Z</dcterms:created>
  <dcterms:modified xsi:type="dcterms:W3CDTF">2026-03-02T14:57:47Z</dcterms:modified>
  <cp:category/>
  <cp:contentStatus/>
</cp:coreProperties>
</file>